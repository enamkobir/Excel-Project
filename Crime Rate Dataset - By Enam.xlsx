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Enam_Deskdoc\Desktop\Quest\Project\"/>
    </mc:Choice>
  </mc:AlternateContent>
  <xr:revisionPtr revIDLastSave="0" documentId="13_ncr:1_{4F0A10B3-502D-4CAC-B3A8-736232B362FC}" xr6:coauthVersionLast="47" xr6:coauthVersionMax="47" xr10:uidLastSave="{00000000-0000-0000-0000-000000000000}"/>
  <bookViews>
    <workbookView xWindow="-108" yWindow="-108" windowWidth="23256" windowHeight="12456" tabRatio="831" activeTab="7" xr2:uid="{00000000-000D-0000-FFFF-FFFF00000000}"/>
  </bookViews>
  <sheets>
    <sheet name="Sheet1" sheetId="6" r:id="rId1"/>
    <sheet name="Sheet2" sheetId="8" r:id="rId2"/>
    <sheet name="Sheet5" sheetId="14" r:id="rId3"/>
    <sheet name="Sheet4" sheetId="13" r:id="rId4"/>
    <sheet name="Sheet3" sheetId="10" r:id="rId5"/>
    <sheet name="Main" sheetId="4" r:id="rId6"/>
    <sheet name="Heatmap" sheetId="5" r:id="rId7"/>
    <sheet name="Dashboard" sheetId="12" r:id="rId8"/>
    <sheet name="Insights &amp; Interpretation" sheetId="7" r:id="rId9"/>
  </sheets>
  <definedNames>
    <definedName name="_xlnm._FilterDatabase" localSheetId="1" hidden="1">Sheet2!$A$2:$E$198</definedName>
    <definedName name="Slicer_Crime_Type1">#N/A</definedName>
    <definedName name="Slicer_Unit_Name">#N/A</definedName>
    <definedName name="Slicer_Unit_Name1">#N/A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4" l="1"/>
  <c r="E20" i="4"/>
  <c r="F20" i="4"/>
  <c r="G20" i="4"/>
  <c r="H20" i="4"/>
  <c r="I20" i="4"/>
  <c r="J20" i="4"/>
  <c r="K20" i="4"/>
  <c r="L20" i="4"/>
  <c r="M20" i="4"/>
  <c r="N20" i="4"/>
  <c r="O20" i="4"/>
  <c r="P20" i="4"/>
  <c r="Q20" i="4"/>
  <c r="R20" i="4"/>
  <c r="C20" i="4"/>
  <c r="D19" i="4"/>
  <c r="E19" i="4"/>
  <c r="F19" i="4"/>
  <c r="G19" i="4"/>
  <c r="H19" i="4"/>
  <c r="I19" i="4"/>
  <c r="J19" i="4"/>
  <c r="K19" i="4"/>
  <c r="L19" i="4"/>
  <c r="M19" i="4"/>
  <c r="N19" i="4"/>
  <c r="O19" i="4"/>
  <c r="P19" i="4"/>
  <c r="Q19" i="4"/>
  <c r="R19" i="4"/>
  <c r="C19" i="4"/>
  <c r="D4" i="8" a="1"/>
  <c r="D4" i="8" s="1"/>
  <c r="D5" i="8" a="1"/>
  <c r="D5" i="8" s="1"/>
  <c r="D6" i="8" a="1"/>
  <c r="D6" i="8" s="1"/>
  <c r="D7" i="8" a="1"/>
  <c r="D7" i="8" s="1"/>
  <c r="D8" i="8" a="1"/>
  <c r="D8" i="8" s="1"/>
  <c r="D9" i="8" a="1"/>
  <c r="D9" i="8" s="1"/>
  <c r="D10" i="8" a="1"/>
  <c r="D10" i="8" s="1"/>
  <c r="D11" i="8" a="1"/>
  <c r="D11" i="8" s="1"/>
  <c r="D12" i="8" a="1"/>
  <c r="D12" i="8" s="1"/>
  <c r="D13" i="8" a="1"/>
  <c r="D13" i="8" s="1"/>
  <c r="D14" i="8" a="1"/>
  <c r="D14" i="8" s="1"/>
  <c r="D15" i="8" a="1"/>
  <c r="D15" i="8" s="1"/>
  <c r="D16" i="8" a="1"/>
  <c r="D16" i="8" s="1"/>
  <c r="D17" i="8" a="1"/>
  <c r="D17" i="8" s="1"/>
  <c r="D18" i="8" a="1"/>
  <c r="D18" i="8" s="1"/>
  <c r="D19" i="8" a="1"/>
  <c r="D19" i="8" s="1"/>
  <c r="D20" i="8" a="1"/>
  <c r="D20" i="8" s="1"/>
  <c r="D21" i="8" a="1"/>
  <c r="D21" i="8" s="1"/>
  <c r="D22" i="8" a="1"/>
  <c r="D22" i="8" s="1"/>
  <c r="D23" i="8" a="1"/>
  <c r="D23" i="8" s="1"/>
  <c r="D24" i="8" a="1"/>
  <c r="D24" i="8" s="1"/>
  <c r="D25" i="8" a="1"/>
  <c r="D25" i="8" s="1"/>
  <c r="D26" i="8" a="1"/>
  <c r="D26" i="8" s="1"/>
  <c r="D27" i="8" a="1"/>
  <c r="D27" i="8" s="1"/>
  <c r="D28" i="8" a="1"/>
  <c r="D28" i="8" s="1"/>
  <c r="D29" i="8" a="1"/>
  <c r="D29" i="8" s="1"/>
  <c r="D30" i="8" a="1"/>
  <c r="D30" i="8" s="1"/>
  <c r="D31" i="8" a="1"/>
  <c r="D31" i="8" s="1"/>
  <c r="D32" i="8" a="1"/>
  <c r="D32" i="8" s="1"/>
  <c r="D33" i="8" a="1"/>
  <c r="D33" i="8" s="1"/>
  <c r="D34" i="8" a="1"/>
  <c r="D34" i="8" s="1"/>
  <c r="D35" i="8" a="1"/>
  <c r="D35" i="8" s="1"/>
  <c r="D36" i="8" a="1"/>
  <c r="D36" i="8" s="1"/>
  <c r="D37" i="8" a="1"/>
  <c r="D37" i="8" s="1"/>
  <c r="D38" i="8" a="1"/>
  <c r="D38" i="8" s="1"/>
  <c r="D39" i="8" a="1"/>
  <c r="D39" i="8" s="1"/>
  <c r="D40" i="8" a="1"/>
  <c r="D40" i="8" s="1"/>
  <c r="D41" i="8" a="1"/>
  <c r="D41" i="8" s="1"/>
  <c r="D42" i="8" a="1"/>
  <c r="D42" i="8" s="1"/>
  <c r="D43" i="8" a="1"/>
  <c r="D43" i="8" s="1"/>
  <c r="D44" i="8" a="1"/>
  <c r="D44" i="8" s="1"/>
  <c r="D45" i="8" a="1"/>
  <c r="D45" i="8" s="1"/>
  <c r="D46" i="8" a="1"/>
  <c r="D46" i="8" s="1"/>
  <c r="D47" i="8" a="1"/>
  <c r="D47" i="8" s="1"/>
  <c r="D48" i="8" a="1"/>
  <c r="D48" i="8" s="1"/>
  <c r="D49" i="8" a="1"/>
  <c r="D49" i="8" s="1"/>
  <c r="D50" i="8" a="1"/>
  <c r="D50" i="8" s="1"/>
  <c r="D51" i="8" a="1"/>
  <c r="D51" i="8" s="1"/>
  <c r="D52" i="8" a="1"/>
  <c r="D52" i="8" s="1"/>
  <c r="D53" i="8" a="1"/>
  <c r="D53" i="8" s="1"/>
  <c r="D54" i="8" a="1"/>
  <c r="D54" i="8" s="1"/>
  <c r="D55" i="8" a="1"/>
  <c r="D55" i="8" s="1"/>
  <c r="D56" i="8" a="1"/>
  <c r="D56" i="8" s="1"/>
  <c r="D57" i="8" a="1"/>
  <c r="D57" i="8" s="1"/>
  <c r="D58" i="8" a="1"/>
  <c r="D58" i="8" s="1"/>
  <c r="D59" i="8" a="1"/>
  <c r="D59" i="8" s="1"/>
  <c r="D60" i="8" a="1"/>
  <c r="D60" i="8" s="1"/>
  <c r="D61" i="8" a="1"/>
  <c r="D61" i="8" s="1"/>
  <c r="D62" i="8" a="1"/>
  <c r="D62" i="8" s="1"/>
  <c r="D63" i="8" a="1"/>
  <c r="D63" i="8" s="1"/>
  <c r="D64" i="8" a="1"/>
  <c r="D64" i="8" s="1"/>
  <c r="D65" i="8" a="1"/>
  <c r="D65" i="8" s="1"/>
  <c r="D66" i="8" a="1"/>
  <c r="D66" i="8" s="1"/>
  <c r="D67" i="8" a="1"/>
  <c r="D67" i="8" s="1"/>
  <c r="D68" i="8" a="1"/>
  <c r="D68" i="8" s="1"/>
  <c r="D69" i="8" a="1"/>
  <c r="D69" i="8" s="1"/>
  <c r="D70" i="8" a="1"/>
  <c r="D70" i="8" s="1"/>
  <c r="D71" i="8" a="1"/>
  <c r="D71" i="8" s="1"/>
  <c r="D72" i="8" a="1"/>
  <c r="D72" i="8" s="1"/>
  <c r="D73" i="8" a="1"/>
  <c r="D73" i="8" s="1"/>
  <c r="D74" i="8" a="1"/>
  <c r="D74" i="8" s="1"/>
  <c r="D75" i="8" a="1"/>
  <c r="D75" i="8" s="1"/>
  <c r="D76" i="8" a="1"/>
  <c r="D76" i="8" s="1"/>
  <c r="D77" i="8" a="1"/>
  <c r="D77" i="8" s="1"/>
  <c r="D78" i="8" a="1"/>
  <c r="D78" i="8" s="1"/>
  <c r="D79" i="8" a="1"/>
  <c r="D79" i="8" s="1"/>
  <c r="D80" i="8" a="1"/>
  <c r="D80" i="8" s="1"/>
  <c r="D81" i="8" a="1"/>
  <c r="D81" i="8" s="1"/>
  <c r="D82" i="8" a="1"/>
  <c r="D82" i="8" s="1"/>
  <c r="D83" i="8" a="1"/>
  <c r="D83" i="8" s="1"/>
  <c r="D84" i="8" a="1"/>
  <c r="D84" i="8" s="1"/>
  <c r="D85" i="8" a="1"/>
  <c r="D85" i="8" s="1"/>
  <c r="D86" i="8" a="1"/>
  <c r="D86" i="8" s="1"/>
  <c r="D87" i="8" a="1"/>
  <c r="D87" i="8" s="1"/>
  <c r="D88" i="8" a="1"/>
  <c r="D88" i="8" s="1"/>
  <c r="D89" i="8" a="1"/>
  <c r="D89" i="8" s="1"/>
  <c r="D90" i="8" a="1"/>
  <c r="D90" i="8" s="1"/>
  <c r="D91" i="8" a="1"/>
  <c r="D91" i="8" s="1"/>
  <c r="D92" i="8" a="1"/>
  <c r="D92" i="8" s="1"/>
  <c r="D93" i="8" a="1"/>
  <c r="D93" i="8" s="1"/>
  <c r="D94" i="8" a="1"/>
  <c r="D94" i="8" s="1"/>
  <c r="D95" i="8" a="1"/>
  <c r="D95" i="8" s="1"/>
  <c r="D96" i="8" a="1"/>
  <c r="D96" i="8" s="1"/>
  <c r="D97" i="8" a="1"/>
  <c r="D97" i="8" s="1"/>
  <c r="D98" i="8" a="1"/>
  <c r="D98" i="8" s="1"/>
  <c r="D99" i="8" a="1"/>
  <c r="D99" i="8" s="1"/>
  <c r="D100" i="8" a="1"/>
  <c r="D100" i="8" s="1"/>
  <c r="D101" i="8" a="1"/>
  <c r="D101" i="8" s="1"/>
  <c r="D102" i="8" a="1"/>
  <c r="D102" i="8" s="1"/>
  <c r="D103" i="8" a="1"/>
  <c r="D103" i="8" s="1"/>
  <c r="D104" i="8" a="1"/>
  <c r="D104" i="8" s="1"/>
  <c r="D105" i="8" a="1"/>
  <c r="D105" i="8" s="1"/>
  <c r="D106" i="8" a="1"/>
  <c r="D106" i="8" s="1"/>
  <c r="D107" i="8" a="1"/>
  <c r="D107" i="8" s="1"/>
  <c r="D108" i="8" a="1"/>
  <c r="D108" i="8" s="1"/>
  <c r="D109" i="8" a="1"/>
  <c r="D109" i="8" s="1"/>
  <c r="D110" i="8" a="1"/>
  <c r="D110" i="8" s="1"/>
  <c r="D111" i="8" a="1"/>
  <c r="D111" i="8" s="1"/>
  <c r="D112" i="8" a="1"/>
  <c r="D112" i="8" s="1"/>
  <c r="D113" i="8" a="1"/>
  <c r="D113" i="8" s="1"/>
  <c r="D114" i="8" a="1"/>
  <c r="D114" i="8" s="1"/>
  <c r="D115" i="8" a="1"/>
  <c r="D115" i="8" s="1"/>
  <c r="D116" i="8" a="1"/>
  <c r="D116" i="8" s="1"/>
  <c r="D117" i="8" a="1"/>
  <c r="D117" i="8" s="1"/>
  <c r="D118" i="8" a="1"/>
  <c r="D118" i="8" s="1"/>
  <c r="D119" i="8" a="1"/>
  <c r="D119" i="8" s="1"/>
  <c r="D120" i="8" a="1"/>
  <c r="D120" i="8" s="1"/>
  <c r="D121" i="8" a="1"/>
  <c r="D121" i="8" s="1"/>
  <c r="D122" i="8" a="1"/>
  <c r="D122" i="8" s="1"/>
  <c r="D123" i="8" a="1"/>
  <c r="D123" i="8" s="1"/>
  <c r="D124" i="8" a="1"/>
  <c r="D124" i="8" s="1"/>
  <c r="D125" i="8" a="1"/>
  <c r="D125" i="8" s="1"/>
  <c r="D126" i="8" a="1"/>
  <c r="D126" i="8" s="1"/>
  <c r="D127" i="8" a="1"/>
  <c r="D127" i="8" s="1"/>
  <c r="D128" i="8" a="1"/>
  <c r="D128" i="8" s="1"/>
  <c r="D129" i="8" a="1"/>
  <c r="D129" i="8" s="1"/>
  <c r="D130" i="8" a="1"/>
  <c r="D130" i="8" s="1"/>
  <c r="D131" i="8" a="1"/>
  <c r="D131" i="8" s="1"/>
  <c r="D132" i="8" a="1"/>
  <c r="D132" i="8" s="1"/>
  <c r="D133" i="8" a="1"/>
  <c r="D133" i="8" s="1"/>
  <c r="D134" i="8" a="1"/>
  <c r="D134" i="8" s="1"/>
  <c r="D135" i="8" a="1"/>
  <c r="D135" i="8" s="1"/>
  <c r="D136" i="8" a="1"/>
  <c r="D136" i="8" s="1"/>
  <c r="D137" i="8" a="1"/>
  <c r="D137" i="8" s="1"/>
  <c r="D138" i="8" a="1"/>
  <c r="D138" i="8" s="1"/>
  <c r="D139" i="8" a="1"/>
  <c r="D139" i="8" s="1"/>
  <c r="D140" i="8" a="1"/>
  <c r="D140" i="8" s="1"/>
  <c r="D141" i="8" a="1"/>
  <c r="D141" i="8" s="1"/>
  <c r="D142" i="8" a="1"/>
  <c r="D142" i="8" s="1"/>
  <c r="D143" i="8" a="1"/>
  <c r="D143" i="8" s="1"/>
  <c r="D144" i="8" a="1"/>
  <c r="D144" i="8" s="1"/>
  <c r="D145" i="8" a="1"/>
  <c r="D145" i="8" s="1"/>
  <c r="D146" i="8" a="1"/>
  <c r="D146" i="8" s="1"/>
  <c r="D147" i="8" a="1"/>
  <c r="D147" i="8" s="1"/>
  <c r="D148" i="8" a="1"/>
  <c r="D148" i="8" s="1"/>
  <c r="D149" i="8" a="1"/>
  <c r="D149" i="8" s="1"/>
  <c r="D150" i="8" a="1"/>
  <c r="D150" i="8" s="1"/>
  <c r="D151" i="8" a="1"/>
  <c r="D151" i="8" s="1"/>
  <c r="D152" i="8" a="1"/>
  <c r="D152" i="8" s="1"/>
  <c r="D153" i="8" a="1"/>
  <c r="D153" i="8" s="1"/>
  <c r="D154" i="8" a="1"/>
  <c r="D154" i="8" s="1"/>
  <c r="D155" i="8" a="1"/>
  <c r="D155" i="8" s="1"/>
  <c r="D156" i="8" a="1"/>
  <c r="D156" i="8" s="1"/>
  <c r="D157" i="8" a="1"/>
  <c r="D157" i="8" s="1"/>
  <c r="D158" i="8" a="1"/>
  <c r="D158" i="8" s="1"/>
  <c r="D159" i="8" a="1"/>
  <c r="D159" i="8" s="1"/>
  <c r="D160" i="8" a="1"/>
  <c r="D160" i="8" s="1"/>
  <c r="D161" i="8" a="1"/>
  <c r="D161" i="8" s="1"/>
  <c r="D162" i="8" a="1"/>
  <c r="D162" i="8" s="1"/>
  <c r="D163" i="8" a="1"/>
  <c r="D163" i="8" s="1"/>
  <c r="D164" i="8" a="1"/>
  <c r="D164" i="8" s="1"/>
  <c r="D165" i="8" a="1"/>
  <c r="D165" i="8" s="1"/>
  <c r="D166" i="8" a="1"/>
  <c r="D166" i="8" s="1"/>
  <c r="D167" i="8" a="1"/>
  <c r="D167" i="8" s="1"/>
  <c r="D168" i="8" a="1"/>
  <c r="D168" i="8" s="1"/>
  <c r="D169" i="8" a="1"/>
  <c r="D169" i="8" s="1"/>
  <c r="D170" i="8" a="1"/>
  <c r="D170" i="8" s="1"/>
  <c r="D171" i="8" a="1"/>
  <c r="D171" i="8" s="1"/>
  <c r="D172" i="8" a="1"/>
  <c r="D172" i="8" s="1"/>
  <c r="D173" i="8" a="1"/>
  <c r="D173" i="8" s="1"/>
  <c r="D174" i="8" a="1"/>
  <c r="D174" i="8" s="1"/>
  <c r="D175" i="8" a="1"/>
  <c r="D175" i="8" s="1"/>
  <c r="D176" i="8" a="1"/>
  <c r="D176" i="8" s="1"/>
  <c r="D177" i="8" a="1"/>
  <c r="D177" i="8" s="1"/>
  <c r="D178" i="8" a="1"/>
  <c r="D178" i="8" s="1"/>
  <c r="D179" i="8" a="1"/>
  <c r="D179" i="8" s="1"/>
  <c r="D180" i="8" a="1"/>
  <c r="D180" i="8" s="1"/>
  <c r="D181" i="8" a="1"/>
  <c r="D181" i="8" s="1"/>
  <c r="D182" i="8" a="1"/>
  <c r="D182" i="8" s="1"/>
  <c r="D183" i="8" a="1"/>
  <c r="D183" i="8" s="1"/>
  <c r="D184" i="8" a="1"/>
  <c r="D184" i="8" s="1"/>
  <c r="D185" i="8" a="1"/>
  <c r="D185" i="8" s="1"/>
  <c r="D186" i="8" a="1"/>
  <c r="D186" i="8" s="1"/>
  <c r="D187" i="8" a="1"/>
  <c r="D187" i="8" s="1"/>
  <c r="D188" i="8" a="1"/>
  <c r="D188" i="8" s="1"/>
  <c r="D189" i="8" a="1"/>
  <c r="D189" i="8" s="1"/>
  <c r="D190" i="8" a="1"/>
  <c r="D190" i="8" s="1"/>
  <c r="D191" i="8" a="1"/>
  <c r="D191" i="8" s="1"/>
  <c r="D192" i="8" a="1"/>
  <c r="D192" i="8" s="1"/>
  <c r="D193" i="8" a="1"/>
  <c r="D193" i="8" s="1"/>
  <c r="D194" i="8" a="1"/>
  <c r="D194" i="8" s="1"/>
  <c r="D195" i="8" a="1"/>
  <c r="D195" i="8" s="1"/>
  <c r="D196" i="8" a="1"/>
  <c r="D196" i="8" s="1"/>
  <c r="D197" i="8" a="1"/>
  <c r="D197" i="8" s="1"/>
  <c r="D198" i="8" a="1"/>
  <c r="D198" i="8" s="1"/>
  <c r="D3" i="8" a="1"/>
  <c r="D3" i="8" s="1"/>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3" i="8"/>
  <c r="O10" i="5"/>
  <c r="O10" i="5" a="1"/>
  <c r="N10" i="5"/>
  <c r="N10" i="5" a="1"/>
  <c r="M10" i="5"/>
  <c r="M10" i="5" a="1"/>
  <c r="L10" i="5"/>
  <c r="L10" i="5" a="1"/>
  <c r="K10" i="5"/>
  <c r="K10" i="5" a="1"/>
  <c r="J10" i="5"/>
  <c r="J10" i="5" a="1"/>
  <c r="I10" i="5"/>
  <c r="I10" i="5" a="1"/>
  <c r="H10" i="5"/>
  <c r="H10" i="5" a="1"/>
  <c r="G10" i="5"/>
  <c r="G10" i="5" a="1"/>
  <c r="F10" i="5"/>
  <c r="F10" i="5" a="1"/>
  <c r="E10" i="5"/>
  <c r="E10" i="5" a="1"/>
  <c r="D10" i="5"/>
  <c r="D10" i="5" a="1"/>
  <c r="C10" i="5"/>
  <c r="C10" i="5" a="1"/>
  <c r="B10" i="5"/>
  <c r="B10" i="5" a="1"/>
  <c r="O9" i="5"/>
  <c r="O9" i="5" a="1"/>
  <c r="N9" i="5"/>
  <c r="N9" i="5" a="1"/>
  <c r="M9" i="5"/>
  <c r="M9" i="5" a="1"/>
  <c r="L9" i="5"/>
  <c r="L9" i="5" a="1"/>
  <c r="K9" i="5"/>
  <c r="K9" i="5" a="1"/>
  <c r="J9" i="5"/>
  <c r="J9" i="5" a="1"/>
  <c r="I9" i="5"/>
  <c r="I9" i="5" a="1"/>
  <c r="H9" i="5"/>
  <c r="H9" i="5" a="1"/>
  <c r="G9" i="5"/>
  <c r="G9" i="5" a="1"/>
  <c r="F9" i="5"/>
  <c r="F9" i="5" a="1"/>
  <c r="E9" i="5"/>
  <c r="E9" i="5" a="1"/>
  <c r="D9" i="5"/>
  <c r="D9" i="5" a="1"/>
  <c r="C9" i="5"/>
  <c r="C9" i="5" a="1"/>
  <c r="B9" i="5"/>
  <c r="B9" i="5" a="1"/>
  <c r="O8" i="5"/>
  <c r="O8" i="5" a="1"/>
  <c r="N8" i="5"/>
  <c r="N8" i="5" a="1"/>
  <c r="M8" i="5"/>
  <c r="M8" i="5" a="1"/>
  <c r="L8" i="5"/>
  <c r="L8" i="5" a="1"/>
  <c r="K8" i="5"/>
  <c r="K8" i="5" a="1"/>
  <c r="J8" i="5"/>
  <c r="J8" i="5" a="1"/>
  <c r="I8" i="5"/>
  <c r="I8" i="5" a="1"/>
  <c r="H8" i="5"/>
  <c r="H8" i="5" a="1"/>
  <c r="G8" i="5"/>
  <c r="G8" i="5" a="1"/>
  <c r="F8" i="5"/>
  <c r="F8" i="5" a="1"/>
  <c r="E8" i="5"/>
  <c r="E8" i="5" a="1"/>
  <c r="D8" i="5"/>
  <c r="D8" i="5" a="1"/>
  <c r="C8" i="5"/>
  <c r="C8" i="5" a="1"/>
  <c r="B8" i="5"/>
  <c r="B8" i="5" a="1"/>
  <c r="O7" i="5"/>
  <c r="O7" i="5" a="1"/>
  <c r="N7" i="5"/>
  <c r="N7" i="5" a="1"/>
  <c r="M7" i="5"/>
  <c r="M7" i="5" a="1"/>
  <c r="L7" i="5"/>
  <c r="L7" i="5" a="1"/>
  <c r="K7" i="5"/>
  <c r="K7" i="5" a="1"/>
  <c r="J7" i="5"/>
  <c r="J7" i="5" a="1"/>
  <c r="I7" i="5"/>
  <c r="I7" i="5" a="1"/>
  <c r="H7" i="5"/>
  <c r="H7" i="5" a="1"/>
  <c r="G7" i="5"/>
  <c r="G7" i="5" a="1"/>
  <c r="F7" i="5"/>
  <c r="F7" i="5" a="1"/>
  <c r="E7" i="5"/>
  <c r="E7" i="5" a="1"/>
  <c r="D7" i="5"/>
  <c r="D7" i="5" a="1"/>
  <c r="C7" i="5"/>
  <c r="C7" i="5" a="1"/>
  <c r="B7" i="5"/>
  <c r="B7" i="5" a="1"/>
  <c r="O6" i="5"/>
  <c r="O6" i="5" a="1"/>
  <c r="N6" i="5"/>
  <c r="N6" i="5" a="1"/>
  <c r="M6" i="5"/>
  <c r="M6" i="5" a="1"/>
  <c r="L6" i="5"/>
  <c r="L6" i="5" a="1"/>
  <c r="K6" i="5"/>
  <c r="K6" i="5" a="1"/>
  <c r="J6" i="5"/>
  <c r="J6" i="5" a="1"/>
  <c r="I6" i="5"/>
  <c r="I6" i="5" a="1"/>
  <c r="H6" i="5"/>
  <c r="H6" i="5" a="1"/>
  <c r="G6" i="5"/>
  <c r="G6" i="5" a="1"/>
  <c r="F6" i="5"/>
  <c r="F6" i="5" a="1"/>
  <c r="E6" i="5"/>
  <c r="E6" i="5" a="1"/>
  <c r="D6" i="5"/>
  <c r="D6" i="5" a="1"/>
  <c r="C6" i="5"/>
  <c r="C6" i="5" a="1"/>
  <c r="B6" i="5"/>
  <c r="B6" i="5" a="1"/>
  <c r="O5" i="5"/>
  <c r="O5" i="5" a="1"/>
  <c r="N5" i="5"/>
  <c r="N5" i="5" a="1"/>
  <c r="M5" i="5"/>
  <c r="M5" i="5" a="1"/>
  <c r="L5" i="5"/>
  <c r="L5" i="5" a="1"/>
  <c r="K5" i="5"/>
  <c r="K5" i="5" a="1"/>
  <c r="J5" i="5"/>
  <c r="J5" i="5" a="1"/>
  <c r="I5" i="5"/>
  <c r="I5" i="5" a="1"/>
  <c r="H5" i="5"/>
  <c r="H5" i="5" a="1"/>
  <c r="G5" i="5"/>
  <c r="G5" i="5" a="1"/>
  <c r="F5" i="5"/>
  <c r="F5" i="5" a="1"/>
  <c r="E5" i="5"/>
  <c r="E5" i="5" a="1"/>
  <c r="D5" i="5"/>
  <c r="D5" i="5" a="1"/>
  <c r="C5" i="5"/>
  <c r="C5" i="5" a="1"/>
  <c r="B5" i="5"/>
  <c r="B5" i="5" a="1"/>
  <c r="O4" i="5"/>
  <c r="O4" i="5" a="1"/>
  <c r="N4" i="5"/>
  <c r="N4" i="5" a="1"/>
  <c r="M4" i="5"/>
  <c r="M4" i="5" a="1"/>
  <c r="L4" i="5"/>
  <c r="L4" i="5" a="1"/>
  <c r="K4" i="5"/>
  <c r="K4" i="5" a="1"/>
  <c r="J4" i="5"/>
  <c r="J4" i="5" a="1"/>
  <c r="I4" i="5"/>
  <c r="I4" i="5" a="1"/>
  <c r="H4" i="5"/>
  <c r="H4" i="5" a="1"/>
  <c r="G4" i="5"/>
  <c r="G4" i="5" a="1"/>
  <c r="F4" i="5"/>
  <c r="F4" i="5" a="1"/>
  <c r="E4" i="5"/>
  <c r="E4" i="5" a="1"/>
  <c r="D4" i="5"/>
  <c r="D4" i="5" a="1"/>
  <c r="C4" i="5"/>
  <c r="C4" i="5" a="1"/>
  <c r="B4" i="5"/>
  <c r="B4" i="5" a="1"/>
  <c r="O3" i="5"/>
  <c r="O3" i="5" a="1"/>
  <c r="N3" i="5"/>
  <c r="N3" i="5" a="1"/>
  <c r="M3" i="5"/>
  <c r="M3" i="5" a="1"/>
  <c r="L3" i="5"/>
  <c r="L3" i="5" a="1"/>
  <c r="K3" i="5"/>
  <c r="K3" i="5" a="1"/>
  <c r="J3" i="5"/>
  <c r="J3" i="5" a="1"/>
  <c r="I3" i="5"/>
  <c r="I3" i="5" a="1"/>
  <c r="H3" i="5"/>
  <c r="H3" i="5" a="1"/>
  <c r="G3" i="5"/>
  <c r="G3" i="5" a="1"/>
  <c r="F3" i="5"/>
  <c r="F3" i="5" a="1"/>
  <c r="E3" i="5"/>
  <c r="E3" i="5" a="1"/>
  <c r="D3" i="5"/>
  <c r="D3" i="5" a="1"/>
  <c r="C3" i="5"/>
  <c r="C3" i="5" a="1"/>
  <c r="B3" i="5"/>
  <c r="B3" i="5" a="1"/>
  <c r="T18" i="4"/>
  <c r="R18" i="4"/>
  <c r="T17" i="4"/>
  <c r="S17" i="4"/>
  <c r="R17" i="4"/>
  <c r="T16" i="4"/>
  <c r="S16" i="4"/>
  <c r="R16" i="4"/>
  <c r="T15" i="4"/>
  <c r="S15" i="4"/>
  <c r="R15" i="4"/>
  <c r="T14" i="4"/>
  <c r="S14" i="4"/>
  <c r="R14" i="4"/>
  <c r="T13" i="4"/>
  <c r="S13" i="4"/>
  <c r="R13" i="4"/>
  <c r="T12" i="4"/>
  <c r="S12" i="4"/>
  <c r="R12" i="4"/>
  <c r="T11" i="4"/>
  <c r="S11" i="4"/>
  <c r="R11" i="4"/>
  <c r="T10" i="4"/>
  <c r="S10" i="4"/>
  <c r="R10" i="4"/>
  <c r="T9" i="4"/>
  <c r="S9" i="4"/>
  <c r="R9" i="4"/>
  <c r="T8" i="4"/>
  <c r="S8" i="4"/>
  <c r="R8" i="4"/>
  <c r="T7" i="4"/>
  <c r="S7" i="4"/>
  <c r="R7" i="4"/>
  <c r="T6" i="4"/>
  <c r="S6" i="4"/>
  <c r="R6" i="4"/>
  <c r="T5" i="4"/>
  <c r="S5" i="4"/>
  <c r="R5" i="4"/>
  <c r="T4" i="4"/>
  <c r="S4" i="4"/>
  <c r="R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<sst xmlns="http://schemas.openxmlformats.org/spreadsheetml/2006/main" count="873" uniqueCount="100">
  <si>
    <t>Barisal Range</t>
  </si>
  <si>
    <t>BMP</t>
  </si>
  <si>
    <t>Chittagong Range</t>
  </si>
  <si>
    <t>CMP</t>
  </si>
  <si>
    <t>Dhaka Range</t>
  </si>
  <si>
    <t>DMP</t>
  </si>
  <si>
    <t>Khulna Range</t>
  </si>
  <si>
    <t>KMP</t>
  </si>
  <si>
    <t>Railway Range</t>
  </si>
  <si>
    <t>Rajshahi Range</t>
  </si>
  <si>
    <t>Rangpur Range</t>
  </si>
  <si>
    <t>RMP</t>
  </si>
  <si>
    <t>SMP</t>
  </si>
  <si>
    <t>Sylhet Range</t>
  </si>
  <si>
    <t>Unit Name</t>
  </si>
  <si>
    <t>Dacoity</t>
  </si>
  <si>
    <t>Robbery</t>
  </si>
  <si>
    <t>Murder</t>
  </si>
  <si>
    <t>Speedy Trial</t>
  </si>
  <si>
    <t>Riot</t>
  </si>
  <si>
    <t>Woman &amp; Child Repression</t>
  </si>
  <si>
    <t>Kidnapping</t>
  </si>
  <si>
    <t>Police Assault</t>
  </si>
  <si>
    <t>Burglary</t>
  </si>
  <si>
    <t>Theft</t>
  </si>
  <si>
    <t>Arms Act</t>
  </si>
  <si>
    <t>Explosive</t>
  </si>
  <si>
    <t>Narcotics</t>
  </si>
  <si>
    <t>Smuggling</t>
  </si>
  <si>
    <t>OtherCases</t>
  </si>
  <si>
    <t>Recovery Cases</t>
  </si>
  <si>
    <t>Total</t>
  </si>
  <si>
    <t>Crime Statistics - 2015</t>
  </si>
  <si>
    <t>Division</t>
  </si>
  <si>
    <t>DHAKA</t>
  </si>
  <si>
    <t>KHULNA</t>
  </si>
  <si>
    <t>RAJSHAHI</t>
  </si>
  <si>
    <t>BARISHAL</t>
  </si>
  <si>
    <t>SYLHET</t>
  </si>
  <si>
    <t>CHITTAGONG</t>
  </si>
  <si>
    <t>RANGPUR</t>
  </si>
  <si>
    <t>RAILWAY</t>
  </si>
  <si>
    <t>Row Labels</t>
  </si>
  <si>
    <t>Grand Total</t>
  </si>
  <si>
    <t>Sum of Total</t>
  </si>
  <si>
    <t>Total Crime</t>
  </si>
  <si>
    <t>Total Recovery</t>
  </si>
  <si>
    <t>Sum of Total Recovery</t>
  </si>
  <si>
    <t>Sum of Total Crime</t>
  </si>
  <si>
    <t>Rank</t>
  </si>
  <si>
    <t>Crime Type</t>
  </si>
  <si>
    <t>Reason / Severity</t>
  </si>
  <si>
    <t>Takes human life; punishable by death or life imprisonment.</t>
  </si>
  <si>
    <t>Armed gang robbery; often violent or deadly.</t>
  </si>
  <si>
    <t>Includes rape, trafficking, acid attacks; high social impact.</t>
  </si>
  <si>
    <t>Threat to liberty and life; often linked to ransom or murder.</t>
  </si>
  <si>
    <t>Illegal firearms use or possession; serious public danger.</t>
  </si>
  <si>
    <t>Use or possession of explosives; national security threat.</t>
  </si>
  <si>
    <t>Drug trafficking or dealing; major societal and legal issue.</t>
  </si>
  <si>
    <t>Cross-border trafficking; harms economy and security.</t>
  </si>
  <si>
    <t>Robbery with violence or threat; serious but smaller scale.</t>
  </si>
  <si>
    <t>Group violence or disorder; dangerous but less targeted.</t>
  </si>
  <si>
    <t>Attack on police; serious but less lethal than others.</t>
  </si>
  <si>
    <t>Burglary / Housebreaking</t>
  </si>
  <si>
    <t>Breaking into property; property-focused, sometimes violent.</t>
  </si>
  <si>
    <t>Stealing without force; least violent among listed crimes.</t>
  </si>
  <si>
    <t>Legal procedure for fast trial of heinous crimes.</t>
  </si>
  <si>
    <t>Cases</t>
  </si>
  <si>
    <t>Sum of Cases</t>
  </si>
  <si>
    <t>Crime Statistics Dashboard- 2015</t>
  </si>
  <si>
    <t>DIVISION/Cases Type</t>
  </si>
  <si>
    <t>Sum of Murder</t>
  </si>
  <si>
    <t>Sum of Dacoity</t>
  </si>
  <si>
    <t>Sum of Woman &amp; Child Repression</t>
  </si>
  <si>
    <t>Sum of Kidnapping</t>
  </si>
  <si>
    <t>Sum of Arms Act</t>
  </si>
  <si>
    <t>Divition</t>
  </si>
  <si>
    <t>1.     In our dashboard, we observe that there are various types of crime in Bangladesh. We also compile data on the most dangerous crimes, such as Dacoity, Murder, Violence against Women and Children, Repression, Kidnapping, and violations of the Arms Act, among others, in our country. According to the dashboard, the divisions of Dhaka, Chittagong, and Khulna are the most affected by these serious crimes. Additionally, we note that the number of recovery cases is significant. Therefore, we can conclude that the number of recovery cases is improving in parallel with the overall case numbers.</t>
  </si>
  <si>
    <t>2.     Based on our analysis, it is evident that narcotics-related offenses are the most frequently reported crimes across all divisions. Each division has a significant number of cases. Furthermore, this type of crime poses the greatest threat to our nation.</t>
  </si>
  <si>
    <t>3.     In my perspective, the variations in social, economic, and environmental conditions throughout Bangladesh can frequently be attributed to a combination of geographical, demographic, and developmental factors. Below, I outline several potential factors contributing to these differences:</t>
  </si>
  <si>
    <t>·        Industrial and economic opportunities</t>
  </si>
  <si>
    <t>·        Migration patterns</t>
  </si>
  <si>
    <t>·        Infrastructure development</t>
  </si>
  <si>
    <t>·        Land scarcity</t>
  </si>
  <si>
    <t>·        Availability of agricultural land</t>
  </si>
  <si>
    <t>·        Internal migration for employment, education, or climate reasons</t>
  </si>
  <si>
    <t>·        Industrial concentration</t>
  </si>
  <si>
    <t>·        Regional inequality</t>
  </si>
  <si>
    <t>·        River systems and floodplains</t>
  </si>
  <si>
    <t>·        Climate vulnerability</t>
  </si>
  <si>
    <t>·        Urban-rural divide</t>
  </si>
  <si>
    <t>·        Gender disparity</t>
  </si>
  <si>
    <t>·        Public health programs</t>
  </si>
  <si>
    <t>·        Environmental health risks</t>
  </si>
  <si>
    <t>·        Transportation, etc.</t>
  </si>
  <si>
    <t>Top Dangerous Crime By Internet</t>
  </si>
  <si>
    <t>Insights &amp; Interpretation</t>
  </si>
  <si>
    <t>Mean</t>
  </si>
  <si>
    <t>Standard Deviation</t>
  </si>
  <si>
    <t>TOP CRIME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</si>
</sst>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amily val="2"/>
      <scheme val="minor"/>
    </font>
    <font>
      <sz val="18"/>
      <color theme="1"/>
      <name val="Calibri"/>
      <family val="2"/>
      <scheme val="minor"/>
    </font>
    <font>
      <b/>
      <sz val="11"/>
      <color theme="1"/>
      <name val="Calibri"/>
      <family val="2"/>
      <scheme val="minor"/>
    </font>
    <font>
      <b/>
      <sz val="9"/>
      <color theme="0" tint="-0.14999847407452621"/>
      <name val="Calibri"/>
      <family val="2"/>
      <scheme val="minor"/>
    </font>
    <font>
      <b/>
      <sz val="11"/>
      <color theme="0" tint="-0.14999847407452621"/>
      <name val="Calibri"/>
      <family val="2"/>
      <scheme val="minor"/>
    </font>
    <font>
      <sz val="26"/>
      <color theme="0"/>
      <name val="Calibri"/>
      <family val="2"/>
      <scheme val="minor"/>
    </font>
    <font>
      <b/>
      <sz val="10"/>
      <color theme="0" tint="-0.14999847407452621"/>
      <name val="Calibri"/>
      <family val="2"/>
      <scheme val="minor"/>
    </font>
    <font>
      <sz val="8"/>
      <color rgb="FF3C4043"/>
      <name val="Arial"/>
      <family val="2"/>
    </font>
    <font>
      <b/>
      <sz val="16"/>
      <color rgb="FF3C4043"/>
      <name val="Arial"/>
      <family val="2"/>
    </font>
  </fonts>
  <fills count="6">
    <fill>
      <patternFill patternType="none"/>
    </fill>
    <fill>
      <patternFill patternType="gray125"/>
    </fill>
    <fill>
      <patternFill patternType="solid">
        <fgColor theme="1" tint="0.249977111117893"/>
        <bgColor indexed="64"/>
      </patternFill>
    </fill>
    <fill>
      <patternFill patternType="solid">
        <fgColor theme="4" tint="-0.249977111117893"/>
        <bgColor indexed="64"/>
      </patternFill>
    </fill>
    <fill>
      <patternFill patternType="solid">
        <fgColor theme="0"/>
        <bgColor indexed="64"/>
      </patternFill>
    </fill>
    <fill>
      <patternFill patternType="solid">
        <fgColor theme="0" tint="-0.34998626667073579"/>
        <bgColor indexed="64"/>
      </patternFill>
    </fill>
  </fills>
  <borders count="30">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right style="medium">
        <color indexed="64"/>
      </right>
      <top/>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s>
  <cellStyleXfs count="1">
    <xf numFmtId="0" fontId="0" fillId="0" borderId="0"/>
  </cellStyleXfs>
  <cellXfs count="58">
    <xf numFmtId="0" fontId="0" fillId="0" borderId="0" xfId="0"/>
    <xf numFmtId="0" fontId="0" fillId="0" borderId="0" xfId="0" applyAlignment="1">
      <alignment horizontal="center" vertical="center"/>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10" fontId="0" fillId="0" borderId="3" xfId="0" applyNumberFormat="1" applyBorder="1"/>
    <xf numFmtId="10" fontId="0" fillId="0" borderId="4" xfId="0" applyNumberFormat="1" applyBorder="1"/>
    <xf numFmtId="10" fontId="0" fillId="0" borderId="5" xfId="0" applyNumberFormat="1" applyBorder="1"/>
    <xf numFmtId="0" fontId="0" fillId="0" borderId="1" xfId="0" applyBorder="1"/>
    <xf numFmtId="0" fontId="0" fillId="0" borderId="2"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10" xfId="0" applyFont="1" applyBorder="1" applyAlignment="1">
      <alignment horizontal="center" vertical="center"/>
    </xf>
    <xf numFmtId="0" fontId="0" fillId="0" borderId="10" xfId="0" applyBorder="1" applyAlignment="1">
      <alignment horizontal="center" vertical="center"/>
    </xf>
    <xf numFmtId="0" fontId="0" fillId="0" borderId="5" xfId="0" pivotButton="1" applyBorder="1"/>
    <xf numFmtId="0" fontId="1" fillId="0" borderId="10" xfId="0" applyFont="1" applyBorder="1"/>
    <xf numFmtId="0" fontId="0" fillId="0" borderId="10" xfId="0" applyBorder="1"/>
    <xf numFmtId="0" fontId="0" fillId="0" borderId="14" xfId="0"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xf numFmtId="0" fontId="0" fillId="0" borderId="0" xfId="0" applyAlignment="1">
      <alignment horizontal="center"/>
    </xf>
    <xf numFmtId="0" fontId="0" fillId="0" borderId="18" xfId="0" applyBorder="1" applyAlignment="1">
      <alignment horizontal="center"/>
    </xf>
    <xf numFmtId="0" fontId="3" fillId="0" borderId="19" xfId="0" applyFont="1" applyBorder="1"/>
    <xf numFmtId="0" fontId="0" fillId="0" borderId="20" xfId="0" applyBorder="1" applyAlignment="1">
      <alignment horizontal="center"/>
    </xf>
    <xf numFmtId="0" fontId="0" fillId="0" borderId="21" xfId="0" applyBorder="1" applyAlignment="1">
      <alignment horizontal="center"/>
    </xf>
    <xf numFmtId="0" fontId="0" fillId="0" borderId="18" xfId="0" applyBorder="1"/>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5" fillId="2" borderId="17" xfId="0" applyFont="1" applyFill="1" applyBorder="1"/>
    <xf numFmtId="0" fontId="0" fillId="4" borderId="0" xfId="0" applyFill="1"/>
    <xf numFmtId="0" fontId="7" fillId="2" borderId="17" xfId="0" applyFont="1" applyFill="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0" xfId="0" pivotButton="1"/>
    <xf numFmtId="0" fontId="0" fillId="0" borderId="0" xfId="0" applyAlignment="1">
      <alignment horizontal="left"/>
    </xf>
    <xf numFmtId="0" fontId="3" fillId="0" borderId="25" xfId="0" applyFont="1" applyBorder="1" applyAlignment="1">
      <alignment horizontal="center" vertical="center"/>
    </xf>
    <xf numFmtId="0" fontId="8" fillId="0" borderId="0" xfId="0" applyFont="1"/>
    <xf numFmtId="2" fontId="3" fillId="0" borderId="10" xfId="0" applyNumberFormat="1" applyFont="1" applyBorder="1" applyAlignment="1">
      <alignment horizontal="center" vertical="center"/>
    </xf>
    <xf numFmtId="2" fontId="3" fillId="0" borderId="10" xfId="0" applyNumberFormat="1" applyFont="1" applyBorder="1"/>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2" fillId="0" borderId="0" xfId="0" applyFont="1" applyAlignment="1">
      <alignment horizontal="center"/>
    </xf>
    <xf numFmtId="0" fontId="6" fillId="3" borderId="0" xfId="0" applyFont="1" applyFill="1" applyAlignment="1">
      <alignment horizontal="center" vertical="center"/>
    </xf>
    <xf numFmtId="0" fontId="0" fillId="0" borderId="0" xfId="0" applyAlignment="1">
      <alignment horizontal="left" wrapText="1"/>
    </xf>
    <xf numFmtId="0" fontId="9" fillId="5" borderId="0" xfId="0" applyFont="1" applyFill="1" applyAlignment="1">
      <alignment horizontal="center"/>
    </xf>
    <xf numFmtId="0" fontId="3" fillId="0" borderId="26"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3" fillId="0" borderId="29" xfId="0" applyFont="1" applyBorder="1" applyAlignment="1">
      <alignment horizontal="center"/>
    </xf>
  </cellXfs>
  <cellStyles count="1">
    <cellStyle name="Normal" xfId="0" builtinId="0"/>
  </cellStyles>
  <dxfs count="5">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4"/>
      <tableStyleElement type="firstRowStripe" dxfId="3"/>
      <tableStyleElement type="secondRowStripe" dxfId="2"/>
    </tableStyle>
    <tableStyle name="SlicerStyleLight1 2" pivot="0" table="0" count="10" xr9:uid="{773CEF7F-9B11-43E6-9B0C-1D6A72461B84}">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Wise Total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Sheet1!$A$4:$A$18</c:f>
              <c:strCache>
                <c:ptCount val="14"/>
                <c:pt idx="0">
                  <c:v>Barisal Range</c:v>
                </c:pt>
                <c:pt idx="1">
                  <c:v>BMP</c:v>
                </c:pt>
                <c:pt idx="2">
                  <c:v>Chittagong Range</c:v>
                </c:pt>
                <c:pt idx="3">
                  <c:v>CMP</c:v>
                </c:pt>
                <c:pt idx="4">
                  <c:v>Dhaka Range</c:v>
                </c:pt>
                <c:pt idx="5">
                  <c:v>DMP</c:v>
                </c:pt>
                <c:pt idx="6">
                  <c:v>Khulna Range</c:v>
                </c:pt>
                <c:pt idx="7">
                  <c:v>KMP</c:v>
                </c:pt>
                <c:pt idx="8">
                  <c:v>Railway Range</c:v>
                </c:pt>
                <c:pt idx="9">
                  <c:v>Rajshahi Range</c:v>
                </c:pt>
                <c:pt idx="10">
                  <c:v>Rangpur Range</c:v>
                </c:pt>
                <c:pt idx="11">
                  <c:v>RMP</c:v>
                </c:pt>
                <c:pt idx="12">
                  <c:v>SMP</c:v>
                </c:pt>
                <c:pt idx="13">
                  <c:v>Sylhet Range</c:v>
                </c:pt>
              </c:strCache>
            </c:strRef>
          </c:cat>
          <c:val>
            <c:numRef>
              <c:f>Sheet1!$B$4:$B$18</c:f>
              <c:numCache>
                <c:formatCode>General</c:formatCode>
                <c:ptCount val="14"/>
                <c:pt idx="0">
                  <c:v>14942</c:v>
                </c:pt>
                <c:pt idx="1">
                  <c:v>1185</c:v>
                </c:pt>
                <c:pt idx="2">
                  <c:v>28977</c:v>
                </c:pt>
                <c:pt idx="3">
                  <c:v>4862</c:v>
                </c:pt>
                <c:pt idx="4">
                  <c:v>43422</c:v>
                </c:pt>
                <c:pt idx="5">
                  <c:v>19727</c:v>
                </c:pt>
                <c:pt idx="6">
                  <c:v>16764</c:v>
                </c:pt>
                <c:pt idx="7">
                  <c:v>1642</c:v>
                </c:pt>
                <c:pt idx="8">
                  <c:v>788</c:v>
                </c:pt>
                <c:pt idx="9">
                  <c:v>17446</c:v>
                </c:pt>
                <c:pt idx="10">
                  <c:v>15501</c:v>
                </c:pt>
                <c:pt idx="11">
                  <c:v>1745</c:v>
                </c:pt>
                <c:pt idx="12">
                  <c:v>1393</c:v>
                </c:pt>
                <c:pt idx="13">
                  <c:v>11306</c:v>
                </c:pt>
              </c:numCache>
            </c:numRef>
          </c:val>
          <c:extLst>
            <c:ext xmlns:c16="http://schemas.microsoft.com/office/drawing/2014/chart" uri="{C3380CC4-5D6E-409C-BE32-E72D297353CC}">
              <c16:uniqueId val="{00000000-9D99-4FE3-96D7-E2ABC4C9B38B}"/>
            </c:ext>
          </c:extLst>
        </c:ser>
        <c:dLbls>
          <c:dLblPos val="inEnd"/>
          <c:showLegendKey val="0"/>
          <c:showVal val="1"/>
          <c:showCatName val="0"/>
          <c:showSerName val="0"/>
          <c:showPercent val="0"/>
          <c:showBubbleSize val="0"/>
        </c:dLbls>
        <c:gapWidth val="115"/>
        <c:axId val="872298911"/>
        <c:axId val="872303711"/>
      </c:barChart>
      <c:catAx>
        <c:axId val="872298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303711"/>
        <c:crosses val="autoZero"/>
        <c:auto val="1"/>
        <c:lblAlgn val="ctr"/>
        <c:lblOffset val="100"/>
        <c:noMultiLvlLbl val="0"/>
      </c:catAx>
      <c:valAx>
        <c:axId val="872303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29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Divition Wise Crime Rate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761009287460498"/>
          <c:y val="0.22940761532981865"/>
          <c:w val="0.40507773015148002"/>
          <c:h val="0.63638544451307277"/>
        </c:manualLayout>
      </c:layout>
      <c:pieChart>
        <c:varyColors val="1"/>
        <c:ser>
          <c:idx val="0"/>
          <c:order val="0"/>
          <c:tx>
            <c:strRef>
              <c:f>Sheet1!$E$3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E0-4AB3-BDE8-C971E3666C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E0-4AB3-BDE8-C971E3666C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FE0-4AB3-BDE8-C971E3666C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FE0-4AB3-BDE8-C971E3666C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FE0-4AB3-BDE8-C971E3666C7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E0-4AB3-BDE8-C971E3666C7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FE0-4AB3-BDE8-C971E3666C7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FE0-4AB3-BDE8-C971E3666C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Sheet1!$D$4:$D$12</c:f>
              <c:strCache>
                <c:ptCount val="8"/>
                <c:pt idx="0">
                  <c:v>BARISHAL</c:v>
                </c:pt>
                <c:pt idx="1">
                  <c:v>CHITTAGONG</c:v>
                </c:pt>
                <c:pt idx="2">
                  <c:v>DHAKA</c:v>
                </c:pt>
                <c:pt idx="3">
                  <c:v>KHULNA</c:v>
                </c:pt>
                <c:pt idx="4">
                  <c:v>RAILWAY</c:v>
                </c:pt>
                <c:pt idx="5">
                  <c:v>RAJSHAHI</c:v>
                </c:pt>
                <c:pt idx="6">
                  <c:v>RANGPUR</c:v>
                </c:pt>
                <c:pt idx="7">
                  <c:v>SYLHET</c:v>
                </c:pt>
              </c:strCache>
            </c:strRef>
          </c:cat>
          <c:val>
            <c:numRef>
              <c:f>Sheet1!$E$4:$E$12</c:f>
              <c:numCache>
                <c:formatCode>0.00%</c:formatCode>
                <c:ptCount val="8"/>
                <c:pt idx="0">
                  <c:v>8.9744017807456875E-2</c:v>
                </c:pt>
                <c:pt idx="1">
                  <c:v>0.1883082915971063</c:v>
                </c:pt>
                <c:pt idx="2">
                  <c:v>0.3514134668892599</c:v>
                </c:pt>
                <c:pt idx="3">
                  <c:v>0.10242626599888703</c:v>
                </c:pt>
                <c:pt idx="4">
                  <c:v>4.3850862548692263E-3</c:v>
                </c:pt>
                <c:pt idx="5">
                  <c:v>0.10679465776293823</c:v>
                </c:pt>
                <c:pt idx="6">
                  <c:v>8.6260434056761273E-2</c:v>
                </c:pt>
                <c:pt idx="7">
                  <c:v>7.0667779632721209E-2</c:v>
                </c:pt>
              </c:numCache>
            </c:numRef>
          </c:val>
          <c:extLst>
            <c:ext xmlns:c16="http://schemas.microsoft.com/office/drawing/2014/chart" uri="{C3380CC4-5D6E-409C-BE32-E72D297353CC}">
              <c16:uniqueId val="{00000002-BA28-426F-B5EC-71EB3E120FB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Wise Top 3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7E-2"/>
              <c:y val="-6.48148148148148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5.55555555555555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5.555555555555555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EC-44AF-8C60-50495D8B0B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FEC-44AF-8C60-50495D8B0B5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FEC-44AF-8C60-50495D8B0B53}"/>
              </c:ext>
            </c:extLst>
          </c:dPt>
          <c:dLbls>
            <c:dLbl>
              <c:idx val="0"/>
              <c:layout>
                <c:manualLayout>
                  <c:x val="8.611111111111111E-2"/>
                  <c:y val="-5.5555555555555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EC-44AF-8C60-50495D8B0B53}"/>
                </c:ext>
              </c:extLst>
            </c:dLbl>
            <c:dLbl>
              <c:idx val="1"/>
              <c:layout>
                <c:manualLayout>
                  <c:x val="-9.444444444444444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EC-44AF-8C60-50495D8B0B53}"/>
                </c:ext>
              </c:extLst>
            </c:dLbl>
            <c:dLbl>
              <c:idx val="2"/>
              <c:layout>
                <c:manualLayout>
                  <c:x val="-9.444444444444447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EC-44AF-8C60-50495D8B0B53}"/>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Sheet1!$J$4:$J$7</c:f>
              <c:strCache>
                <c:ptCount val="3"/>
                <c:pt idx="0">
                  <c:v>Chittagong Range</c:v>
                </c:pt>
                <c:pt idx="1">
                  <c:v>Dhaka Range</c:v>
                </c:pt>
                <c:pt idx="2">
                  <c:v>DMP</c:v>
                </c:pt>
              </c:strCache>
            </c:strRef>
          </c:cat>
          <c:val>
            <c:numRef>
              <c:f>Sheet1!$K$4:$K$7</c:f>
              <c:numCache>
                <c:formatCode>General</c:formatCode>
                <c:ptCount val="3"/>
                <c:pt idx="0">
                  <c:v>28977</c:v>
                </c:pt>
                <c:pt idx="1">
                  <c:v>43422</c:v>
                </c:pt>
                <c:pt idx="2">
                  <c:v>19727</c:v>
                </c:pt>
              </c:numCache>
            </c:numRef>
          </c:val>
          <c:extLst>
            <c:ext xmlns:c16="http://schemas.microsoft.com/office/drawing/2014/chart" uri="{C3380CC4-5D6E-409C-BE32-E72D297353CC}">
              <c16:uniqueId val="{00000000-3FEC-44AF-8C60-50495D8B0B5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Enam.xlsx]Sheet1!PivotTable6</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Wise Bottom 3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56E-2"/>
              <c:y val="-0.15740740740740741"/>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9.259259259259258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7.40740740740740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56-43D2-9FCB-1C40572946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B56-43D2-9FCB-1C40572946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B56-43D2-9FCB-1C405729464E}"/>
              </c:ext>
            </c:extLst>
          </c:dPt>
          <c:dLbls>
            <c:dLbl>
              <c:idx val="0"/>
              <c:layout>
                <c:manualLayout>
                  <c:x val="8.3333333333333329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56-43D2-9FCB-1C405729464E}"/>
                </c:ext>
              </c:extLst>
            </c:dLbl>
            <c:dLbl>
              <c:idx val="1"/>
              <c:layout>
                <c:manualLayout>
                  <c:x val="0.1472222222222222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56-43D2-9FCB-1C405729464E}"/>
                </c:ext>
              </c:extLst>
            </c:dLbl>
            <c:dLbl>
              <c:idx val="2"/>
              <c:layout>
                <c:manualLayout>
                  <c:x val="-8.3333333333333356E-2"/>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56-43D2-9FCB-1C405729464E}"/>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Sheet1!$M$4:$M$7</c:f>
              <c:strCache>
                <c:ptCount val="3"/>
                <c:pt idx="0">
                  <c:v>BMP</c:v>
                </c:pt>
                <c:pt idx="1">
                  <c:v>Railway Range</c:v>
                </c:pt>
                <c:pt idx="2">
                  <c:v>SMP</c:v>
                </c:pt>
              </c:strCache>
            </c:strRef>
          </c:cat>
          <c:val>
            <c:numRef>
              <c:f>Sheet1!$N$4:$N$7</c:f>
              <c:numCache>
                <c:formatCode>General</c:formatCode>
                <c:ptCount val="3"/>
                <c:pt idx="0">
                  <c:v>1185</c:v>
                </c:pt>
                <c:pt idx="1">
                  <c:v>788</c:v>
                </c:pt>
                <c:pt idx="2">
                  <c:v>1393</c:v>
                </c:pt>
              </c:numCache>
            </c:numRef>
          </c:val>
          <c:extLst>
            <c:ext xmlns:c16="http://schemas.microsoft.com/office/drawing/2014/chart" uri="{C3380CC4-5D6E-409C-BE32-E72D297353CC}">
              <c16:uniqueId val="{00000000-EB56-43D2-9FCB-1C405729464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Enam.xlsx]Sheet1!PivotTable7</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Divition Wise Total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Sheet1!$G$4:$G$12</c:f>
              <c:strCache>
                <c:ptCount val="8"/>
                <c:pt idx="0">
                  <c:v>BARISHAL</c:v>
                </c:pt>
                <c:pt idx="1">
                  <c:v>CHITTAGONG</c:v>
                </c:pt>
                <c:pt idx="2">
                  <c:v>DHAKA</c:v>
                </c:pt>
                <c:pt idx="3">
                  <c:v>KHULNA</c:v>
                </c:pt>
                <c:pt idx="4">
                  <c:v>RAILWAY</c:v>
                </c:pt>
                <c:pt idx="5">
                  <c:v>RAJSHAHI</c:v>
                </c:pt>
                <c:pt idx="6">
                  <c:v>RANGPUR</c:v>
                </c:pt>
                <c:pt idx="7">
                  <c:v>SYLHET</c:v>
                </c:pt>
              </c:strCache>
            </c:strRef>
          </c:cat>
          <c:val>
            <c:numRef>
              <c:f>Sheet1!$H$4:$H$12</c:f>
              <c:numCache>
                <c:formatCode>General</c:formatCode>
                <c:ptCount val="8"/>
                <c:pt idx="0">
                  <c:v>16127</c:v>
                </c:pt>
                <c:pt idx="1">
                  <c:v>33839</c:v>
                </c:pt>
                <c:pt idx="2">
                  <c:v>63149</c:v>
                </c:pt>
                <c:pt idx="3">
                  <c:v>18406</c:v>
                </c:pt>
                <c:pt idx="4">
                  <c:v>788</c:v>
                </c:pt>
                <c:pt idx="5">
                  <c:v>19191</c:v>
                </c:pt>
                <c:pt idx="6">
                  <c:v>15501</c:v>
                </c:pt>
                <c:pt idx="7">
                  <c:v>12699</c:v>
                </c:pt>
              </c:numCache>
            </c:numRef>
          </c:val>
          <c:extLst>
            <c:ext xmlns:c16="http://schemas.microsoft.com/office/drawing/2014/chart" uri="{C3380CC4-5D6E-409C-BE32-E72D297353CC}">
              <c16:uniqueId val="{00000000-1D8E-4566-8E20-04FDAE0CBAE4}"/>
            </c:ext>
          </c:extLst>
        </c:ser>
        <c:dLbls>
          <c:dLblPos val="outEnd"/>
          <c:showLegendKey val="0"/>
          <c:showVal val="1"/>
          <c:showCatName val="0"/>
          <c:showSerName val="0"/>
          <c:showPercent val="0"/>
          <c:showBubbleSize val="0"/>
        </c:dLbls>
        <c:gapWidth val="100"/>
        <c:overlap val="-24"/>
        <c:axId val="1296124207"/>
        <c:axId val="1296124687"/>
      </c:barChart>
      <c:catAx>
        <c:axId val="1296124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124687"/>
        <c:crosses val="autoZero"/>
        <c:auto val="1"/>
        <c:lblAlgn val="ctr"/>
        <c:lblOffset val="100"/>
        <c:noMultiLvlLbl val="0"/>
      </c:catAx>
      <c:valAx>
        <c:axId val="1296124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12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Enam.xlsx]Sheet1!PivotTable9</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Cases Vs Recovery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Sheet1!$Q$3</c:f>
              <c:strCache>
                <c:ptCount val="1"/>
                <c:pt idx="0">
                  <c:v>Sum of Total Crime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Sheet1!$P$4:$P$12</c:f>
              <c:strCache>
                <c:ptCount val="8"/>
                <c:pt idx="0">
                  <c:v>BARISHAL</c:v>
                </c:pt>
                <c:pt idx="1">
                  <c:v>CHITTAGONG</c:v>
                </c:pt>
                <c:pt idx="2">
                  <c:v>DHAKA</c:v>
                </c:pt>
                <c:pt idx="3">
                  <c:v>KHULNA</c:v>
                </c:pt>
                <c:pt idx="4">
                  <c:v>RAILWAY</c:v>
                </c:pt>
                <c:pt idx="5">
                  <c:v>RAJSHAHI</c:v>
                </c:pt>
                <c:pt idx="6">
                  <c:v>RANGPUR</c:v>
                </c:pt>
                <c:pt idx="7">
                  <c:v>SYLHET</c:v>
                </c:pt>
              </c:strCache>
            </c:strRef>
          </c:cat>
          <c:val>
            <c:numRef>
              <c:f>Sheet1!$Q$4:$Q$12</c:f>
              <c:numCache>
                <c:formatCode>General</c:formatCode>
                <c:ptCount val="8"/>
                <c:pt idx="0">
                  <c:v>16127</c:v>
                </c:pt>
                <c:pt idx="1">
                  <c:v>33839</c:v>
                </c:pt>
                <c:pt idx="2">
                  <c:v>63149</c:v>
                </c:pt>
                <c:pt idx="3">
                  <c:v>18406</c:v>
                </c:pt>
                <c:pt idx="4">
                  <c:v>788</c:v>
                </c:pt>
                <c:pt idx="5">
                  <c:v>19191</c:v>
                </c:pt>
                <c:pt idx="6">
                  <c:v>15501</c:v>
                </c:pt>
                <c:pt idx="7">
                  <c:v>12699</c:v>
                </c:pt>
              </c:numCache>
            </c:numRef>
          </c:val>
          <c:extLst>
            <c:ext xmlns:c16="http://schemas.microsoft.com/office/drawing/2014/chart" uri="{C3380CC4-5D6E-409C-BE32-E72D297353CC}">
              <c16:uniqueId val="{00000000-ECCE-4016-9E22-BB671D91AF64}"/>
            </c:ext>
          </c:extLst>
        </c:ser>
        <c:ser>
          <c:idx val="1"/>
          <c:order val="1"/>
          <c:tx>
            <c:strRef>
              <c:f>Sheet1!$R$3</c:f>
              <c:strCache>
                <c:ptCount val="1"/>
                <c:pt idx="0">
                  <c:v>Sum of Total Recovery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Sheet1!$P$4:$P$12</c:f>
              <c:strCache>
                <c:ptCount val="8"/>
                <c:pt idx="0">
                  <c:v>BARISHAL</c:v>
                </c:pt>
                <c:pt idx="1">
                  <c:v>CHITTAGONG</c:v>
                </c:pt>
                <c:pt idx="2">
                  <c:v>DHAKA</c:v>
                </c:pt>
                <c:pt idx="3">
                  <c:v>KHULNA</c:v>
                </c:pt>
                <c:pt idx="4">
                  <c:v>RAILWAY</c:v>
                </c:pt>
                <c:pt idx="5">
                  <c:v>RAJSHAHI</c:v>
                </c:pt>
                <c:pt idx="6">
                  <c:v>RANGPUR</c:v>
                </c:pt>
                <c:pt idx="7">
                  <c:v>SYLHET</c:v>
                </c:pt>
              </c:strCache>
            </c:strRef>
          </c:cat>
          <c:val>
            <c:numRef>
              <c:f>Sheet1!$R$4:$R$12</c:f>
              <c:numCache>
                <c:formatCode>General</c:formatCode>
                <c:ptCount val="8"/>
                <c:pt idx="0">
                  <c:v>6448</c:v>
                </c:pt>
                <c:pt idx="1">
                  <c:v>11067</c:v>
                </c:pt>
                <c:pt idx="2">
                  <c:v>22409</c:v>
                </c:pt>
                <c:pt idx="3">
                  <c:v>3381</c:v>
                </c:pt>
                <c:pt idx="4">
                  <c:v>526</c:v>
                </c:pt>
                <c:pt idx="5">
                  <c:v>5482</c:v>
                </c:pt>
                <c:pt idx="6">
                  <c:v>1914</c:v>
                </c:pt>
                <c:pt idx="7">
                  <c:v>4270</c:v>
                </c:pt>
              </c:numCache>
            </c:numRef>
          </c:val>
          <c:extLst>
            <c:ext xmlns:c16="http://schemas.microsoft.com/office/drawing/2014/chart" uri="{C3380CC4-5D6E-409C-BE32-E72D297353CC}">
              <c16:uniqueId val="{00000001-ECCE-4016-9E22-BB671D91AF64}"/>
            </c:ext>
          </c:extLst>
        </c:ser>
        <c:dLbls>
          <c:showLegendKey val="0"/>
          <c:showVal val="0"/>
          <c:showCatName val="0"/>
          <c:showSerName val="0"/>
          <c:showPercent val="0"/>
          <c:showBubbleSize val="0"/>
        </c:dLbls>
        <c:gapWidth val="100"/>
        <c:overlap val="-24"/>
        <c:axId val="1229852831"/>
        <c:axId val="1229859071"/>
      </c:barChart>
      <c:catAx>
        <c:axId val="1229852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859071"/>
        <c:crosses val="autoZero"/>
        <c:auto val="1"/>
        <c:lblAlgn val="ctr"/>
        <c:lblOffset val="100"/>
        <c:noMultiLvlLbl val="0"/>
      </c:catAx>
      <c:valAx>
        <c:axId val="1229859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85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Divition Wise Top 5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Sheet1!$U$3</c:f>
              <c:strCache>
                <c:ptCount val="1"/>
                <c:pt idx="0">
                  <c:v>Sum of Murder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Sheet1!$T$4:$T$12</c:f>
              <c:strCache>
                <c:ptCount val="8"/>
                <c:pt idx="0">
                  <c:v>BARISHAL</c:v>
                </c:pt>
                <c:pt idx="1">
                  <c:v>CHITTAGONG</c:v>
                </c:pt>
                <c:pt idx="2">
                  <c:v>DHAKA</c:v>
                </c:pt>
                <c:pt idx="3">
                  <c:v>KHULNA</c:v>
                </c:pt>
                <c:pt idx="4">
                  <c:v>RAILWAY</c:v>
                </c:pt>
                <c:pt idx="5">
                  <c:v>RAJSHAHI</c:v>
                </c:pt>
                <c:pt idx="6">
                  <c:v>RANGPUR</c:v>
                </c:pt>
                <c:pt idx="7">
                  <c:v>SYLHET</c:v>
                </c:pt>
              </c:strCache>
            </c:strRef>
          </c:cat>
          <c:val>
            <c:numRef>
              <c:f>Sheet1!$U$4:$U$12</c:f>
              <c:numCache>
                <c:formatCode>General</c:formatCode>
                <c:ptCount val="8"/>
                <c:pt idx="0">
                  <c:v>190</c:v>
                </c:pt>
                <c:pt idx="1">
                  <c:v>793</c:v>
                </c:pt>
                <c:pt idx="2">
                  <c:v>1476</c:v>
                </c:pt>
                <c:pt idx="3">
                  <c:v>469</c:v>
                </c:pt>
                <c:pt idx="4">
                  <c:v>24</c:v>
                </c:pt>
                <c:pt idx="5">
                  <c:v>466</c:v>
                </c:pt>
                <c:pt idx="6">
                  <c:v>328</c:v>
                </c:pt>
                <c:pt idx="7">
                  <c:v>289</c:v>
                </c:pt>
              </c:numCache>
            </c:numRef>
          </c:val>
          <c:extLst>
            <c:ext xmlns:c16="http://schemas.microsoft.com/office/drawing/2014/chart" uri="{C3380CC4-5D6E-409C-BE32-E72D297353CC}">
              <c16:uniqueId val="{00000000-ADC4-4709-8CBE-4BADDCE03EE7}"/>
            </c:ext>
          </c:extLst>
        </c:ser>
        <c:ser>
          <c:idx val="1"/>
          <c:order val="1"/>
          <c:tx>
            <c:strRef>
              <c:f>Sheet1!$V$3</c:f>
              <c:strCache>
                <c:ptCount val="1"/>
                <c:pt idx="0">
                  <c:v>Sum of Dacoity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Sheet1!$T$4:$T$12</c:f>
              <c:strCache>
                <c:ptCount val="8"/>
                <c:pt idx="0">
                  <c:v>BARISHAL</c:v>
                </c:pt>
                <c:pt idx="1">
                  <c:v>CHITTAGONG</c:v>
                </c:pt>
                <c:pt idx="2">
                  <c:v>DHAKA</c:v>
                </c:pt>
                <c:pt idx="3">
                  <c:v>KHULNA</c:v>
                </c:pt>
                <c:pt idx="4">
                  <c:v>RAILWAY</c:v>
                </c:pt>
                <c:pt idx="5">
                  <c:v>RAJSHAHI</c:v>
                </c:pt>
                <c:pt idx="6">
                  <c:v>RANGPUR</c:v>
                </c:pt>
                <c:pt idx="7">
                  <c:v>SYLHET</c:v>
                </c:pt>
              </c:strCache>
            </c:strRef>
          </c:cat>
          <c:val>
            <c:numRef>
              <c:f>Sheet1!$V$4:$V$12</c:f>
              <c:numCache>
                <c:formatCode>General</c:formatCode>
                <c:ptCount val="8"/>
                <c:pt idx="0">
                  <c:v>33</c:v>
                </c:pt>
                <c:pt idx="1">
                  <c:v>112</c:v>
                </c:pt>
                <c:pt idx="2">
                  <c:v>195</c:v>
                </c:pt>
                <c:pt idx="3">
                  <c:v>50</c:v>
                </c:pt>
                <c:pt idx="4">
                  <c:v>2</c:v>
                </c:pt>
                <c:pt idx="5">
                  <c:v>37</c:v>
                </c:pt>
                <c:pt idx="6">
                  <c:v>17</c:v>
                </c:pt>
                <c:pt idx="7">
                  <c:v>45</c:v>
                </c:pt>
              </c:numCache>
            </c:numRef>
          </c:val>
          <c:extLst>
            <c:ext xmlns:c16="http://schemas.microsoft.com/office/drawing/2014/chart" uri="{C3380CC4-5D6E-409C-BE32-E72D297353CC}">
              <c16:uniqueId val="{00000001-ADC4-4709-8CBE-4BADDCE03EE7}"/>
            </c:ext>
          </c:extLst>
        </c:ser>
        <c:ser>
          <c:idx val="2"/>
          <c:order val="2"/>
          <c:tx>
            <c:strRef>
              <c:f>Sheet1!$W$3</c:f>
              <c:strCache>
                <c:ptCount val="1"/>
                <c:pt idx="0">
                  <c:v>Sum of Woman &amp; Child Repression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Sheet1!$T$4:$T$12</c:f>
              <c:strCache>
                <c:ptCount val="8"/>
                <c:pt idx="0">
                  <c:v>BARISHAL</c:v>
                </c:pt>
                <c:pt idx="1">
                  <c:v>CHITTAGONG</c:v>
                </c:pt>
                <c:pt idx="2">
                  <c:v>DHAKA</c:v>
                </c:pt>
                <c:pt idx="3">
                  <c:v>KHULNA</c:v>
                </c:pt>
                <c:pt idx="4">
                  <c:v>RAILWAY</c:v>
                </c:pt>
                <c:pt idx="5">
                  <c:v>RAJSHAHI</c:v>
                </c:pt>
                <c:pt idx="6">
                  <c:v>RANGPUR</c:v>
                </c:pt>
                <c:pt idx="7">
                  <c:v>SYLHET</c:v>
                </c:pt>
              </c:strCache>
            </c:strRef>
          </c:cat>
          <c:val>
            <c:numRef>
              <c:f>Sheet1!$W$4:$W$12</c:f>
              <c:numCache>
                <c:formatCode>General</c:formatCode>
                <c:ptCount val="8"/>
                <c:pt idx="0">
                  <c:v>1607</c:v>
                </c:pt>
                <c:pt idx="1">
                  <c:v>4243</c:v>
                </c:pt>
                <c:pt idx="2">
                  <c:v>6602</c:v>
                </c:pt>
                <c:pt idx="3">
                  <c:v>3624</c:v>
                </c:pt>
                <c:pt idx="4">
                  <c:v>5</c:v>
                </c:pt>
                <c:pt idx="5">
                  <c:v>2470</c:v>
                </c:pt>
                <c:pt idx="6">
                  <c:v>2587</c:v>
                </c:pt>
                <c:pt idx="7">
                  <c:v>1082</c:v>
                </c:pt>
              </c:numCache>
            </c:numRef>
          </c:val>
          <c:extLst>
            <c:ext xmlns:c16="http://schemas.microsoft.com/office/drawing/2014/chart" uri="{C3380CC4-5D6E-409C-BE32-E72D297353CC}">
              <c16:uniqueId val="{00000002-ADC4-4709-8CBE-4BADDCE03EE7}"/>
            </c:ext>
          </c:extLst>
        </c:ser>
        <c:ser>
          <c:idx val="3"/>
          <c:order val="3"/>
          <c:tx>
            <c:strRef>
              <c:f>Sheet1!$X$3</c:f>
              <c:strCache>
                <c:ptCount val="1"/>
                <c:pt idx="0">
                  <c:v>Sum of Kidnapping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Sheet1!$T$4:$T$12</c:f>
              <c:strCache>
                <c:ptCount val="8"/>
                <c:pt idx="0">
                  <c:v>BARISHAL</c:v>
                </c:pt>
                <c:pt idx="1">
                  <c:v>CHITTAGONG</c:v>
                </c:pt>
                <c:pt idx="2">
                  <c:v>DHAKA</c:v>
                </c:pt>
                <c:pt idx="3">
                  <c:v>KHULNA</c:v>
                </c:pt>
                <c:pt idx="4">
                  <c:v>RAILWAY</c:v>
                </c:pt>
                <c:pt idx="5">
                  <c:v>RAJSHAHI</c:v>
                </c:pt>
                <c:pt idx="6">
                  <c:v>RANGPUR</c:v>
                </c:pt>
                <c:pt idx="7">
                  <c:v>SYLHET</c:v>
                </c:pt>
              </c:strCache>
            </c:strRef>
          </c:cat>
          <c:val>
            <c:numRef>
              <c:f>Sheet1!$X$4:$X$12</c:f>
              <c:numCache>
                <c:formatCode>General</c:formatCode>
                <c:ptCount val="8"/>
                <c:pt idx="0">
                  <c:v>57</c:v>
                </c:pt>
                <c:pt idx="1">
                  <c:v>149</c:v>
                </c:pt>
                <c:pt idx="2">
                  <c:v>351</c:v>
                </c:pt>
                <c:pt idx="3">
                  <c:v>86</c:v>
                </c:pt>
                <c:pt idx="4">
                  <c:v>8</c:v>
                </c:pt>
                <c:pt idx="5">
                  <c:v>78</c:v>
                </c:pt>
                <c:pt idx="6">
                  <c:v>34</c:v>
                </c:pt>
                <c:pt idx="7">
                  <c:v>43</c:v>
                </c:pt>
              </c:numCache>
            </c:numRef>
          </c:val>
          <c:extLst>
            <c:ext xmlns:c16="http://schemas.microsoft.com/office/drawing/2014/chart" uri="{C3380CC4-5D6E-409C-BE32-E72D297353CC}">
              <c16:uniqueId val="{00000003-ADC4-4709-8CBE-4BADDCE03EE7}"/>
            </c:ext>
          </c:extLst>
        </c:ser>
        <c:ser>
          <c:idx val="4"/>
          <c:order val="4"/>
          <c:tx>
            <c:strRef>
              <c:f>Sheet1!$Y$3</c:f>
              <c:strCache>
                <c:ptCount val="1"/>
                <c:pt idx="0">
                  <c:v>Sum of Arms Act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Sheet1!$T$4:$T$12</c:f>
              <c:strCache>
                <c:ptCount val="8"/>
                <c:pt idx="0">
                  <c:v>BARISHAL</c:v>
                </c:pt>
                <c:pt idx="1">
                  <c:v>CHITTAGONG</c:v>
                </c:pt>
                <c:pt idx="2">
                  <c:v>DHAKA</c:v>
                </c:pt>
                <c:pt idx="3">
                  <c:v>KHULNA</c:v>
                </c:pt>
                <c:pt idx="4">
                  <c:v>RAILWAY</c:v>
                </c:pt>
                <c:pt idx="5">
                  <c:v>RAJSHAHI</c:v>
                </c:pt>
                <c:pt idx="6">
                  <c:v>RANGPUR</c:v>
                </c:pt>
                <c:pt idx="7">
                  <c:v>SYLHET</c:v>
                </c:pt>
              </c:strCache>
            </c:strRef>
          </c:cat>
          <c:val>
            <c:numRef>
              <c:f>Sheet1!$Y$4:$Y$12</c:f>
              <c:numCache>
                <c:formatCode>General</c:formatCode>
                <c:ptCount val="8"/>
                <c:pt idx="0">
                  <c:v>43</c:v>
                </c:pt>
                <c:pt idx="1">
                  <c:v>599</c:v>
                </c:pt>
                <c:pt idx="2">
                  <c:v>630</c:v>
                </c:pt>
                <c:pt idx="3">
                  <c:v>351</c:v>
                </c:pt>
                <c:pt idx="4">
                  <c:v>4</c:v>
                </c:pt>
                <c:pt idx="5">
                  <c:v>336</c:v>
                </c:pt>
                <c:pt idx="6">
                  <c:v>53</c:v>
                </c:pt>
                <c:pt idx="7">
                  <c:v>65</c:v>
                </c:pt>
              </c:numCache>
            </c:numRef>
          </c:val>
          <c:extLst>
            <c:ext xmlns:c16="http://schemas.microsoft.com/office/drawing/2014/chart" uri="{C3380CC4-5D6E-409C-BE32-E72D297353CC}">
              <c16:uniqueId val="{00000004-ADC4-4709-8CBE-4BADDCE03EE7}"/>
            </c:ext>
          </c:extLst>
        </c:ser>
        <c:dLbls>
          <c:showLegendKey val="0"/>
          <c:showVal val="0"/>
          <c:showCatName val="0"/>
          <c:showSerName val="0"/>
          <c:showPercent val="0"/>
          <c:showBubbleSize val="0"/>
        </c:dLbls>
        <c:gapWidth val="100"/>
        <c:overlap val="-24"/>
        <c:axId val="541522239"/>
        <c:axId val="541529439"/>
      </c:barChart>
      <c:catAx>
        <c:axId val="541522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529439"/>
        <c:crosses val="autoZero"/>
        <c:auto val="1"/>
        <c:lblAlgn val="ctr"/>
        <c:lblOffset val="100"/>
        <c:noMultiLvlLbl val="0"/>
      </c:catAx>
      <c:valAx>
        <c:axId val="541529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522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Enam.xlsx]Sheet5!Top 5 Crime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rgbClr val="FFFFFF">
                    <a:lumMod val="95000"/>
                  </a:srgbClr>
                </a:solidFill>
                <a:effectLst>
                  <a:outerShdw blurRad="50800" dist="38100" dir="5400000" algn="t" rotWithShape="0">
                    <a:prstClr val="black">
                      <a:alpha val="40000"/>
                    </a:prstClr>
                  </a:outerShdw>
                </a:effectLst>
              </a:rPr>
              <a:t>Top 5 Crime By </a:t>
            </a:r>
            <a:r>
              <a:rPr lang="en-US" sz="1200" b="1" i="0" u="none" strike="noStrike" kern="1200" spc="100" baseline="0">
                <a:solidFill>
                  <a:srgbClr val="FFFFFF">
                    <a:lumMod val="95000"/>
                  </a:srgbClr>
                </a:solidFill>
                <a:effectLst>
                  <a:outerShdw blurRad="50800" dist="38100" dir="5400000" algn="t" rotWithShape="0">
                    <a:prstClr val="black">
                      <a:alpha val="40000"/>
                    </a:prstClr>
                  </a:outerShdw>
                </a:effectLst>
              </a:rPr>
              <a:t>Divition</a:t>
            </a:r>
            <a:endParaRPr lang="en-US" sz="1400" b="1" i="0" u="none" strike="noStrike" kern="1200" spc="100" baseline="0">
              <a:solidFill>
                <a:srgbClr val="FFFFFF">
                  <a:lumMod val="95000"/>
                </a:srgb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Sheet5!$A$4:$A$12</c:f>
              <c:strCache>
                <c:ptCount val="8"/>
                <c:pt idx="0">
                  <c:v>BARISHAL</c:v>
                </c:pt>
                <c:pt idx="1">
                  <c:v>CHITTAGONG</c:v>
                </c:pt>
                <c:pt idx="2">
                  <c:v>DHAKA</c:v>
                </c:pt>
                <c:pt idx="3">
                  <c:v>KHULNA</c:v>
                </c:pt>
                <c:pt idx="4">
                  <c:v>RAILWAY</c:v>
                </c:pt>
                <c:pt idx="5">
                  <c:v>RAJSHAHI</c:v>
                </c:pt>
                <c:pt idx="6">
                  <c:v>RANGPUR</c:v>
                </c:pt>
                <c:pt idx="7">
                  <c:v>SYLHET</c:v>
                </c:pt>
              </c:strCache>
            </c:strRef>
          </c:cat>
          <c:val>
            <c:numRef>
              <c:f>Sheet5!$B$4:$B$12</c:f>
              <c:numCache>
                <c:formatCode>General</c:formatCode>
                <c:ptCount val="8"/>
                <c:pt idx="0">
                  <c:v>43</c:v>
                </c:pt>
                <c:pt idx="1">
                  <c:v>599</c:v>
                </c:pt>
                <c:pt idx="2">
                  <c:v>630</c:v>
                </c:pt>
                <c:pt idx="3">
                  <c:v>351</c:v>
                </c:pt>
                <c:pt idx="4">
                  <c:v>4</c:v>
                </c:pt>
                <c:pt idx="5">
                  <c:v>336</c:v>
                </c:pt>
                <c:pt idx="6">
                  <c:v>53</c:v>
                </c:pt>
                <c:pt idx="7">
                  <c:v>65</c:v>
                </c:pt>
              </c:numCache>
            </c:numRef>
          </c:val>
          <c:extLst>
            <c:ext xmlns:c16="http://schemas.microsoft.com/office/drawing/2014/chart" uri="{C3380CC4-5D6E-409C-BE32-E72D297353CC}">
              <c16:uniqueId val="{00000000-BB9D-46BE-889D-417AD4B3B575}"/>
            </c:ext>
          </c:extLst>
        </c:ser>
        <c:dLbls>
          <c:showLegendKey val="0"/>
          <c:showVal val="0"/>
          <c:showCatName val="0"/>
          <c:showSerName val="0"/>
          <c:showPercent val="0"/>
          <c:showBubbleSize val="0"/>
        </c:dLbls>
        <c:gapWidth val="100"/>
        <c:overlap val="-24"/>
        <c:axId val="1952965967"/>
        <c:axId val="1952940047"/>
      </c:barChart>
      <c:catAx>
        <c:axId val="1952965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40047"/>
        <c:crosses val="autoZero"/>
        <c:auto val="1"/>
        <c:lblAlgn val="ctr"/>
        <c:lblOffset val="100"/>
        <c:noMultiLvlLbl val="0"/>
      </c:catAx>
      <c:valAx>
        <c:axId val="1952940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6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a:t>
            </a:r>
            <a:r>
              <a:rPr lang="en-US" baseline="0"/>
              <a:t> Wise All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03-4FE1-9667-98CFD8F061D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03-4FE1-9667-98CFD8F061D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03-4FE1-9667-98CFD8F061D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03-4FE1-9667-98CFD8F061D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D03-4FE1-9667-98CFD8F061D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D03-4FE1-9667-98CFD8F061D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D03-4FE1-9667-98CFD8F061D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D03-4FE1-9667-98CFD8F061D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D03-4FE1-9667-98CFD8F061D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D03-4FE1-9667-98CFD8F061D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D03-4FE1-9667-98CFD8F061D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D03-4FE1-9667-98CFD8F061D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D03-4FE1-9667-98CFD8F061D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D03-4FE1-9667-98CFD8F061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Sheet3!$A$4:$A$18</c:f>
              <c:strCache>
                <c:ptCount val="14"/>
                <c:pt idx="0">
                  <c:v>Arms Act</c:v>
                </c:pt>
                <c:pt idx="1">
                  <c:v>Burglary</c:v>
                </c:pt>
                <c:pt idx="2">
                  <c:v>Dacoity</c:v>
                </c:pt>
                <c:pt idx="3">
                  <c:v>Explosive</c:v>
                </c:pt>
                <c:pt idx="4">
                  <c:v>Kidnapping</c:v>
                </c:pt>
                <c:pt idx="5">
                  <c:v>Murder</c:v>
                </c:pt>
                <c:pt idx="6">
                  <c:v>Narcotics</c:v>
                </c:pt>
                <c:pt idx="7">
                  <c:v>Police Assault</c:v>
                </c:pt>
                <c:pt idx="8">
                  <c:v>Riot</c:v>
                </c:pt>
                <c:pt idx="9">
                  <c:v>Robbery</c:v>
                </c:pt>
                <c:pt idx="10">
                  <c:v>Smuggling</c:v>
                </c:pt>
                <c:pt idx="11">
                  <c:v>Speedy Trial</c:v>
                </c:pt>
                <c:pt idx="12">
                  <c:v>Theft</c:v>
                </c:pt>
                <c:pt idx="13">
                  <c:v>Woman &amp; Child Repression</c:v>
                </c:pt>
              </c:strCache>
            </c:strRef>
          </c:cat>
          <c:val>
            <c:numRef>
              <c:f>Sheet3!$B$4:$B$18</c:f>
              <c:numCache>
                <c:formatCode>General</c:formatCode>
                <c:ptCount val="14"/>
                <c:pt idx="0">
                  <c:v>17</c:v>
                </c:pt>
                <c:pt idx="1">
                  <c:v>33</c:v>
                </c:pt>
                <c:pt idx="2">
                  <c:v>2</c:v>
                </c:pt>
                <c:pt idx="3">
                  <c:v>0</c:v>
                </c:pt>
                <c:pt idx="4">
                  <c:v>4</c:v>
                </c:pt>
                <c:pt idx="5">
                  <c:v>15</c:v>
                </c:pt>
                <c:pt idx="6">
                  <c:v>557</c:v>
                </c:pt>
                <c:pt idx="7">
                  <c:v>8</c:v>
                </c:pt>
                <c:pt idx="8">
                  <c:v>0</c:v>
                </c:pt>
                <c:pt idx="9">
                  <c:v>11</c:v>
                </c:pt>
                <c:pt idx="10">
                  <c:v>2</c:v>
                </c:pt>
                <c:pt idx="11">
                  <c:v>5</c:v>
                </c:pt>
                <c:pt idx="12">
                  <c:v>50</c:v>
                </c:pt>
                <c:pt idx="13">
                  <c:v>110</c:v>
                </c:pt>
              </c:numCache>
            </c:numRef>
          </c:val>
          <c:extLst>
            <c:ext xmlns:c16="http://schemas.microsoft.com/office/drawing/2014/chart" uri="{C3380CC4-5D6E-409C-BE32-E72D297353CC}">
              <c16:uniqueId val="{00000000-EF6C-4438-9C8A-332AFB4A89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4171935404626157E-2"/>
          <c:y val="0.57692391351633543"/>
          <c:w val="0.97370851272901238"/>
          <c:h val="0.306663911486202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Enam.xlsx]Sheet3!PivotTable3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Wise Total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Sheet3!$A$4:$A$18</c:f>
              <c:strCache>
                <c:ptCount val="14"/>
                <c:pt idx="0">
                  <c:v>Arms Act</c:v>
                </c:pt>
                <c:pt idx="1">
                  <c:v>Burglary</c:v>
                </c:pt>
                <c:pt idx="2">
                  <c:v>Dacoity</c:v>
                </c:pt>
                <c:pt idx="3">
                  <c:v>Explosive</c:v>
                </c:pt>
                <c:pt idx="4">
                  <c:v>Kidnapping</c:v>
                </c:pt>
                <c:pt idx="5">
                  <c:v>Murder</c:v>
                </c:pt>
                <c:pt idx="6">
                  <c:v>Narcotics</c:v>
                </c:pt>
                <c:pt idx="7">
                  <c:v>Police Assault</c:v>
                </c:pt>
                <c:pt idx="8">
                  <c:v>Riot</c:v>
                </c:pt>
                <c:pt idx="9">
                  <c:v>Robbery</c:v>
                </c:pt>
                <c:pt idx="10">
                  <c:v>Smuggling</c:v>
                </c:pt>
                <c:pt idx="11">
                  <c:v>Speedy Trial</c:v>
                </c:pt>
                <c:pt idx="12">
                  <c:v>Theft</c:v>
                </c:pt>
                <c:pt idx="13">
                  <c:v>Woman &amp; Child Repression</c:v>
                </c:pt>
              </c:strCache>
            </c:strRef>
          </c:cat>
          <c:val>
            <c:numRef>
              <c:f>Sheet3!$B$4:$B$18</c:f>
              <c:numCache>
                <c:formatCode>General</c:formatCode>
                <c:ptCount val="14"/>
                <c:pt idx="0">
                  <c:v>17</c:v>
                </c:pt>
                <c:pt idx="1">
                  <c:v>33</c:v>
                </c:pt>
                <c:pt idx="2">
                  <c:v>2</c:v>
                </c:pt>
                <c:pt idx="3">
                  <c:v>0</c:v>
                </c:pt>
                <c:pt idx="4">
                  <c:v>4</c:v>
                </c:pt>
                <c:pt idx="5">
                  <c:v>15</c:v>
                </c:pt>
                <c:pt idx="6">
                  <c:v>557</c:v>
                </c:pt>
                <c:pt idx="7">
                  <c:v>8</c:v>
                </c:pt>
                <c:pt idx="8">
                  <c:v>0</c:v>
                </c:pt>
                <c:pt idx="9">
                  <c:v>11</c:v>
                </c:pt>
                <c:pt idx="10">
                  <c:v>2</c:v>
                </c:pt>
                <c:pt idx="11">
                  <c:v>5</c:v>
                </c:pt>
                <c:pt idx="12">
                  <c:v>50</c:v>
                </c:pt>
                <c:pt idx="13">
                  <c:v>110</c:v>
                </c:pt>
              </c:numCache>
            </c:numRef>
          </c:val>
          <c:extLst>
            <c:ext xmlns:c16="http://schemas.microsoft.com/office/drawing/2014/chart" uri="{C3380CC4-5D6E-409C-BE32-E72D297353CC}">
              <c16:uniqueId val="{00000000-8BEE-4468-BB75-A1B96E2FB1F9}"/>
            </c:ext>
          </c:extLst>
        </c:ser>
        <c:dLbls>
          <c:dLblPos val="outEnd"/>
          <c:showLegendKey val="0"/>
          <c:showVal val="1"/>
          <c:showCatName val="0"/>
          <c:showSerName val="0"/>
          <c:showPercent val="0"/>
          <c:showBubbleSize val="0"/>
        </c:dLbls>
        <c:gapWidth val="115"/>
        <c:overlap val="-20"/>
        <c:axId val="1825519311"/>
        <c:axId val="1825526511"/>
      </c:barChart>
      <c:catAx>
        <c:axId val="1825519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5526511"/>
        <c:crosses val="autoZero"/>
        <c:auto val="1"/>
        <c:lblAlgn val="ctr"/>
        <c:lblOffset val="100"/>
        <c:noMultiLvlLbl val="0"/>
      </c:catAx>
      <c:valAx>
        <c:axId val="182552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55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Wise Total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Sheet1!$A$4:$A$18</c:f>
              <c:strCache>
                <c:ptCount val="14"/>
                <c:pt idx="0">
                  <c:v>Barisal Range</c:v>
                </c:pt>
                <c:pt idx="1">
                  <c:v>BMP</c:v>
                </c:pt>
                <c:pt idx="2">
                  <c:v>Chittagong Range</c:v>
                </c:pt>
                <c:pt idx="3">
                  <c:v>CMP</c:v>
                </c:pt>
                <c:pt idx="4">
                  <c:v>Dhaka Range</c:v>
                </c:pt>
                <c:pt idx="5">
                  <c:v>DMP</c:v>
                </c:pt>
                <c:pt idx="6">
                  <c:v>Khulna Range</c:v>
                </c:pt>
                <c:pt idx="7">
                  <c:v>KMP</c:v>
                </c:pt>
                <c:pt idx="8">
                  <c:v>Railway Range</c:v>
                </c:pt>
                <c:pt idx="9">
                  <c:v>Rajshahi Range</c:v>
                </c:pt>
                <c:pt idx="10">
                  <c:v>Rangpur Range</c:v>
                </c:pt>
                <c:pt idx="11">
                  <c:v>RMP</c:v>
                </c:pt>
                <c:pt idx="12">
                  <c:v>SMP</c:v>
                </c:pt>
                <c:pt idx="13">
                  <c:v>Sylhet Range</c:v>
                </c:pt>
              </c:strCache>
            </c:strRef>
          </c:cat>
          <c:val>
            <c:numRef>
              <c:f>Sheet1!$B$4:$B$18</c:f>
              <c:numCache>
                <c:formatCode>General</c:formatCode>
                <c:ptCount val="14"/>
                <c:pt idx="0">
                  <c:v>14942</c:v>
                </c:pt>
                <c:pt idx="1">
                  <c:v>1185</c:v>
                </c:pt>
                <c:pt idx="2">
                  <c:v>28977</c:v>
                </c:pt>
                <c:pt idx="3">
                  <c:v>4862</c:v>
                </c:pt>
                <c:pt idx="4">
                  <c:v>43422</c:v>
                </c:pt>
                <c:pt idx="5">
                  <c:v>19727</c:v>
                </c:pt>
                <c:pt idx="6">
                  <c:v>16764</c:v>
                </c:pt>
                <c:pt idx="7">
                  <c:v>1642</c:v>
                </c:pt>
                <c:pt idx="8">
                  <c:v>788</c:v>
                </c:pt>
                <c:pt idx="9">
                  <c:v>17446</c:v>
                </c:pt>
                <c:pt idx="10">
                  <c:v>15501</c:v>
                </c:pt>
                <c:pt idx="11">
                  <c:v>1745</c:v>
                </c:pt>
                <c:pt idx="12">
                  <c:v>1393</c:v>
                </c:pt>
                <c:pt idx="13">
                  <c:v>11306</c:v>
                </c:pt>
              </c:numCache>
            </c:numRef>
          </c:val>
          <c:extLst>
            <c:ext xmlns:c16="http://schemas.microsoft.com/office/drawing/2014/chart" uri="{C3380CC4-5D6E-409C-BE32-E72D297353CC}">
              <c16:uniqueId val="{00000000-68DD-433C-8497-0F3D1B7E2BF6}"/>
            </c:ext>
          </c:extLst>
        </c:ser>
        <c:dLbls>
          <c:dLblPos val="inEnd"/>
          <c:showLegendKey val="0"/>
          <c:showVal val="1"/>
          <c:showCatName val="0"/>
          <c:showSerName val="0"/>
          <c:showPercent val="0"/>
          <c:showBubbleSize val="0"/>
        </c:dLbls>
        <c:gapWidth val="115"/>
        <c:axId val="872298911"/>
        <c:axId val="872303711"/>
      </c:barChart>
      <c:catAx>
        <c:axId val="872298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303711"/>
        <c:crosses val="autoZero"/>
        <c:auto val="1"/>
        <c:lblAlgn val="ctr"/>
        <c:lblOffset val="100"/>
        <c:noMultiLvlLbl val="0"/>
      </c:catAx>
      <c:valAx>
        <c:axId val="872303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29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Enam.xlsx]Sheet1!PivotTable3</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Divition Wise Crime Rate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761009287460498"/>
          <c:y val="0.22940761532981865"/>
          <c:w val="0.40507773015148002"/>
          <c:h val="0.63638544451307277"/>
        </c:manualLayout>
      </c:layout>
      <c:pieChart>
        <c:varyColors val="1"/>
        <c:ser>
          <c:idx val="0"/>
          <c:order val="0"/>
          <c:tx>
            <c:strRef>
              <c:f>Sheet1!$E$3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C1-4D33-B861-62668366D8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C1-4D33-B861-62668366D8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C1-4D33-B861-62668366D8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0C1-4D33-B861-62668366D8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0C1-4D33-B861-62668366D8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0C1-4D33-B861-62668366D8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0C1-4D33-B861-62668366D8B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0C1-4D33-B861-62668366D8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Sheet1!$D$4:$D$12</c:f>
              <c:strCache>
                <c:ptCount val="8"/>
                <c:pt idx="0">
                  <c:v>BARISHAL</c:v>
                </c:pt>
                <c:pt idx="1">
                  <c:v>CHITTAGONG</c:v>
                </c:pt>
                <c:pt idx="2">
                  <c:v>DHAKA</c:v>
                </c:pt>
                <c:pt idx="3">
                  <c:v>KHULNA</c:v>
                </c:pt>
                <c:pt idx="4">
                  <c:v>RAILWAY</c:v>
                </c:pt>
                <c:pt idx="5">
                  <c:v>RAJSHAHI</c:v>
                </c:pt>
                <c:pt idx="6">
                  <c:v>RANGPUR</c:v>
                </c:pt>
                <c:pt idx="7">
                  <c:v>SYLHET</c:v>
                </c:pt>
              </c:strCache>
            </c:strRef>
          </c:cat>
          <c:val>
            <c:numRef>
              <c:f>Sheet1!$E$4:$E$12</c:f>
              <c:numCache>
                <c:formatCode>0.00%</c:formatCode>
                <c:ptCount val="8"/>
                <c:pt idx="0">
                  <c:v>8.9744017807456875E-2</c:v>
                </c:pt>
                <c:pt idx="1">
                  <c:v>0.1883082915971063</c:v>
                </c:pt>
                <c:pt idx="2">
                  <c:v>0.3514134668892599</c:v>
                </c:pt>
                <c:pt idx="3">
                  <c:v>0.10242626599888703</c:v>
                </c:pt>
                <c:pt idx="4">
                  <c:v>4.3850862548692263E-3</c:v>
                </c:pt>
                <c:pt idx="5">
                  <c:v>0.10679465776293823</c:v>
                </c:pt>
                <c:pt idx="6">
                  <c:v>8.6260434056761273E-2</c:v>
                </c:pt>
                <c:pt idx="7">
                  <c:v>7.0667779632721209E-2</c:v>
                </c:pt>
              </c:numCache>
            </c:numRef>
          </c:val>
          <c:extLst>
            <c:ext xmlns:c16="http://schemas.microsoft.com/office/drawing/2014/chart" uri="{C3380CC4-5D6E-409C-BE32-E72D297353CC}">
              <c16:uniqueId val="{00000010-D0C1-4D33-B861-62668366D8B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Enam.xlsx]Sheet1!PivotTable4</c:name>
    <c:fmtId val="25"/>
  </c:pivotSource>
  <c:chart>
    <c:title>
      <c:tx>
        <c:rich>
          <a:bodyPr rot="0" spcFirstLastPara="1" vertOverflow="ellipsis" vert="horz" wrap="square" anchor="ctr" anchorCtr="1"/>
          <a:lstStyle/>
          <a:p>
            <a:pPr algn="ctr" rtl="0">
              <a:defRPr lang="en-US" sz="14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rPr>
              <a:t>Top 3 Crime</a:t>
            </a:r>
          </a:p>
        </c:rich>
      </c:tx>
      <c:layout>
        <c:manualLayout>
          <c:xMode val="edge"/>
          <c:yMode val="edge"/>
          <c:x val="0.48999219650837"/>
          <c:y val="0.45491813882714288"/>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7E-2"/>
              <c:y val="-6.48148148148148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5.55555555555555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5.555555555555555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5.55555555555555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5.555555555555555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7E-2"/>
              <c:y val="-6.48148148148148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5.55555555555555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5.555555555555555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7E-2"/>
              <c:y val="-6.481481481481481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41342904726074986"/>
          <c:y val="0.21867703541012792"/>
          <c:w val="0.49864007995923121"/>
          <c:h val="0.5380638323585889"/>
        </c:manualLayout>
      </c:layout>
      <c:doughnutChart>
        <c:varyColors val="1"/>
        <c:ser>
          <c:idx val="0"/>
          <c:order val="0"/>
          <c:tx>
            <c:strRef>
              <c:f>Sheet1!$K$3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EC-4C83-A8DE-37BE72F952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EC-4C83-A8DE-37BE72F952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EC-4C83-A8DE-37BE72F95235}"/>
              </c:ext>
            </c:extLst>
          </c:dPt>
          <c:dLbls>
            <c:dLbl>
              <c:idx val="0"/>
              <c:layout>
                <c:manualLayout>
                  <c:x val="8.611111111111111E-2"/>
                  <c:y val="-5.5555555555555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EC-4C83-A8DE-37BE72F95235}"/>
                </c:ext>
              </c:extLst>
            </c:dLbl>
            <c:dLbl>
              <c:idx val="1"/>
              <c:layout>
                <c:manualLayout>
                  <c:x val="-9.444444444444444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EC-4C83-A8DE-37BE72F95235}"/>
                </c:ext>
              </c:extLst>
            </c:dLbl>
            <c:dLbl>
              <c:idx val="2"/>
              <c:layout>
                <c:manualLayout>
                  <c:x val="-9.444444444444447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EC-4C83-A8DE-37BE72F95235}"/>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Sheet1!$J$4:$J$7</c:f>
              <c:strCache>
                <c:ptCount val="3"/>
                <c:pt idx="0">
                  <c:v>Chittagong Range</c:v>
                </c:pt>
                <c:pt idx="1">
                  <c:v>Dhaka Range</c:v>
                </c:pt>
                <c:pt idx="2">
                  <c:v>DMP</c:v>
                </c:pt>
              </c:strCache>
            </c:strRef>
          </c:cat>
          <c:val>
            <c:numRef>
              <c:f>Sheet1!$K$4:$K$7</c:f>
              <c:numCache>
                <c:formatCode>General</c:formatCode>
                <c:ptCount val="3"/>
                <c:pt idx="0">
                  <c:v>28977</c:v>
                </c:pt>
                <c:pt idx="1">
                  <c:v>43422</c:v>
                </c:pt>
                <c:pt idx="2">
                  <c:v>19727</c:v>
                </c:pt>
              </c:numCache>
            </c:numRef>
          </c:val>
          <c:extLst>
            <c:ext xmlns:c16="http://schemas.microsoft.com/office/drawing/2014/chart" uri="{C3380CC4-5D6E-409C-BE32-E72D297353CC}">
              <c16:uniqueId val="{00000006-D2EC-4C83-A8DE-37BE72F9523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layout>
        <c:manualLayout>
          <c:xMode val="edge"/>
          <c:yMode val="edge"/>
          <c:x val="1.9273501303161855E-2"/>
          <c:y val="0.3990595029147353"/>
          <c:w val="0.31007937343820141"/>
          <c:h val="0.210574271136047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Enam.xlsx]Sheet1!PivotTable6</c:name>
    <c:fmtId val="3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Bottom 3 </a:t>
            </a:r>
          </a:p>
          <a:p>
            <a:pPr>
              <a:defRPr sz="1400"/>
            </a:pPr>
            <a:r>
              <a:rPr lang="en-US" sz="1400"/>
              <a:t>Crime</a:t>
            </a:r>
          </a:p>
        </c:rich>
      </c:tx>
      <c:layout>
        <c:manualLayout>
          <c:xMode val="edge"/>
          <c:yMode val="edge"/>
          <c:x val="0.48700920633927119"/>
          <c:y val="0.39882230575286193"/>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56E-2"/>
              <c:y val="-0.15740740740740741"/>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9.259259259259258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7.40740740740740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9.259259259259258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7.40740740740740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56E-2"/>
              <c:y val="-0.15740740740740741"/>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9.259259259259258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7.407407407407407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56E-2"/>
              <c:y val="-0.15740740740740741"/>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7914369412113441"/>
          <c:y val="0.2042045462026108"/>
          <c:w val="0.46809340994797916"/>
          <c:h val="0.52579613498012368"/>
        </c:manualLayout>
      </c:layout>
      <c:doughnutChart>
        <c:varyColors val="1"/>
        <c:ser>
          <c:idx val="0"/>
          <c:order val="0"/>
          <c:tx>
            <c:strRef>
              <c:f>Sheet1!$N$3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A8-44BC-AA38-4BECD88B12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A8-44BC-AA38-4BECD88B12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A8-44BC-AA38-4BECD88B123C}"/>
              </c:ext>
            </c:extLst>
          </c:dPt>
          <c:dLbls>
            <c:dLbl>
              <c:idx val="0"/>
              <c:layout>
                <c:manualLayout>
                  <c:x val="8.3333333333333329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A8-44BC-AA38-4BECD88B123C}"/>
                </c:ext>
              </c:extLst>
            </c:dLbl>
            <c:dLbl>
              <c:idx val="1"/>
              <c:layout>
                <c:manualLayout>
                  <c:x val="0.1472222222222222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A8-44BC-AA38-4BECD88B123C}"/>
                </c:ext>
              </c:extLst>
            </c:dLbl>
            <c:dLbl>
              <c:idx val="2"/>
              <c:layout>
                <c:manualLayout>
                  <c:x val="-8.3333333333333356E-2"/>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A8-44BC-AA38-4BECD88B123C}"/>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Sheet1!$M$4:$M$7</c:f>
              <c:strCache>
                <c:ptCount val="3"/>
                <c:pt idx="0">
                  <c:v>BMP</c:v>
                </c:pt>
                <c:pt idx="1">
                  <c:v>Railway Range</c:v>
                </c:pt>
                <c:pt idx="2">
                  <c:v>SMP</c:v>
                </c:pt>
              </c:strCache>
            </c:strRef>
          </c:cat>
          <c:val>
            <c:numRef>
              <c:f>Sheet1!$N$4:$N$7</c:f>
              <c:numCache>
                <c:formatCode>General</c:formatCode>
                <c:ptCount val="3"/>
                <c:pt idx="0">
                  <c:v>1185</c:v>
                </c:pt>
                <c:pt idx="1">
                  <c:v>788</c:v>
                </c:pt>
                <c:pt idx="2">
                  <c:v>1393</c:v>
                </c:pt>
              </c:numCache>
            </c:numRef>
          </c:val>
          <c:extLst>
            <c:ext xmlns:c16="http://schemas.microsoft.com/office/drawing/2014/chart" uri="{C3380CC4-5D6E-409C-BE32-E72D297353CC}">
              <c16:uniqueId val="{00000006-1EA8-44BC-AA38-4BECD88B123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layout>
        <c:manualLayout>
          <c:xMode val="edge"/>
          <c:yMode val="edge"/>
          <c:x val="2.2497692657898669E-2"/>
          <c:y val="0.40919509963332829"/>
          <c:w val="0.25762426727495075"/>
          <c:h val="0.21162355915132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Enam.xlsx]Sheet1!PivotTable7</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Divition Wise Total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Sheet1!$G$4:$G$12</c:f>
              <c:strCache>
                <c:ptCount val="8"/>
                <c:pt idx="0">
                  <c:v>BARISHAL</c:v>
                </c:pt>
                <c:pt idx="1">
                  <c:v>CHITTAGONG</c:v>
                </c:pt>
                <c:pt idx="2">
                  <c:v>DHAKA</c:v>
                </c:pt>
                <c:pt idx="3">
                  <c:v>KHULNA</c:v>
                </c:pt>
                <c:pt idx="4">
                  <c:v>RAILWAY</c:v>
                </c:pt>
                <c:pt idx="5">
                  <c:v>RAJSHAHI</c:v>
                </c:pt>
                <c:pt idx="6">
                  <c:v>RANGPUR</c:v>
                </c:pt>
                <c:pt idx="7">
                  <c:v>SYLHET</c:v>
                </c:pt>
              </c:strCache>
            </c:strRef>
          </c:cat>
          <c:val>
            <c:numRef>
              <c:f>Sheet1!$H$4:$H$12</c:f>
              <c:numCache>
                <c:formatCode>General</c:formatCode>
                <c:ptCount val="8"/>
                <c:pt idx="0">
                  <c:v>16127</c:v>
                </c:pt>
                <c:pt idx="1">
                  <c:v>33839</c:v>
                </c:pt>
                <c:pt idx="2">
                  <c:v>63149</c:v>
                </c:pt>
                <c:pt idx="3">
                  <c:v>18406</c:v>
                </c:pt>
                <c:pt idx="4">
                  <c:v>788</c:v>
                </c:pt>
                <c:pt idx="5">
                  <c:v>19191</c:v>
                </c:pt>
                <c:pt idx="6">
                  <c:v>15501</c:v>
                </c:pt>
                <c:pt idx="7">
                  <c:v>12699</c:v>
                </c:pt>
              </c:numCache>
            </c:numRef>
          </c:val>
          <c:extLst>
            <c:ext xmlns:c16="http://schemas.microsoft.com/office/drawing/2014/chart" uri="{C3380CC4-5D6E-409C-BE32-E72D297353CC}">
              <c16:uniqueId val="{00000000-7684-4E89-9BDB-7BD52CCF5341}"/>
            </c:ext>
          </c:extLst>
        </c:ser>
        <c:dLbls>
          <c:dLblPos val="outEnd"/>
          <c:showLegendKey val="0"/>
          <c:showVal val="1"/>
          <c:showCatName val="0"/>
          <c:showSerName val="0"/>
          <c:showPercent val="0"/>
          <c:showBubbleSize val="0"/>
        </c:dLbls>
        <c:gapWidth val="100"/>
        <c:overlap val="-24"/>
        <c:axId val="1296124207"/>
        <c:axId val="1296124687"/>
      </c:barChart>
      <c:catAx>
        <c:axId val="1296124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124687"/>
        <c:crosses val="autoZero"/>
        <c:auto val="1"/>
        <c:lblAlgn val="ctr"/>
        <c:lblOffset val="100"/>
        <c:noMultiLvlLbl val="0"/>
      </c:catAx>
      <c:valAx>
        <c:axId val="1296124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12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Enam.xlsx]Sheet1!PivotTable9</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Cases Vs Recovery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Sheet1!$Q$3</c:f>
              <c:strCache>
                <c:ptCount val="1"/>
                <c:pt idx="0">
                  <c:v>Sum of Total Crime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Sheet1!$P$4:$P$12</c:f>
              <c:strCache>
                <c:ptCount val="8"/>
                <c:pt idx="0">
                  <c:v>BARISHAL</c:v>
                </c:pt>
                <c:pt idx="1">
                  <c:v>CHITTAGONG</c:v>
                </c:pt>
                <c:pt idx="2">
                  <c:v>DHAKA</c:v>
                </c:pt>
                <c:pt idx="3">
                  <c:v>KHULNA</c:v>
                </c:pt>
                <c:pt idx="4">
                  <c:v>RAILWAY</c:v>
                </c:pt>
                <c:pt idx="5">
                  <c:v>RAJSHAHI</c:v>
                </c:pt>
                <c:pt idx="6">
                  <c:v>RANGPUR</c:v>
                </c:pt>
                <c:pt idx="7">
                  <c:v>SYLHET</c:v>
                </c:pt>
              </c:strCache>
            </c:strRef>
          </c:cat>
          <c:val>
            <c:numRef>
              <c:f>Sheet1!$Q$4:$Q$12</c:f>
              <c:numCache>
                <c:formatCode>General</c:formatCode>
                <c:ptCount val="8"/>
                <c:pt idx="0">
                  <c:v>16127</c:v>
                </c:pt>
                <c:pt idx="1">
                  <c:v>33839</c:v>
                </c:pt>
                <c:pt idx="2">
                  <c:v>63149</c:v>
                </c:pt>
                <c:pt idx="3">
                  <c:v>18406</c:v>
                </c:pt>
                <c:pt idx="4">
                  <c:v>788</c:v>
                </c:pt>
                <c:pt idx="5">
                  <c:v>19191</c:v>
                </c:pt>
                <c:pt idx="6">
                  <c:v>15501</c:v>
                </c:pt>
                <c:pt idx="7">
                  <c:v>12699</c:v>
                </c:pt>
              </c:numCache>
            </c:numRef>
          </c:val>
          <c:extLst>
            <c:ext xmlns:c16="http://schemas.microsoft.com/office/drawing/2014/chart" uri="{C3380CC4-5D6E-409C-BE32-E72D297353CC}">
              <c16:uniqueId val="{00000000-3508-481F-B7F8-E725D1F2E513}"/>
            </c:ext>
          </c:extLst>
        </c:ser>
        <c:ser>
          <c:idx val="1"/>
          <c:order val="1"/>
          <c:tx>
            <c:strRef>
              <c:f>Sheet1!$R$3</c:f>
              <c:strCache>
                <c:ptCount val="1"/>
                <c:pt idx="0">
                  <c:v>Sum of Total Recovery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Sheet1!$P$4:$P$12</c:f>
              <c:strCache>
                <c:ptCount val="8"/>
                <c:pt idx="0">
                  <c:v>BARISHAL</c:v>
                </c:pt>
                <c:pt idx="1">
                  <c:v>CHITTAGONG</c:v>
                </c:pt>
                <c:pt idx="2">
                  <c:v>DHAKA</c:v>
                </c:pt>
                <c:pt idx="3">
                  <c:v>KHULNA</c:v>
                </c:pt>
                <c:pt idx="4">
                  <c:v>RAILWAY</c:v>
                </c:pt>
                <c:pt idx="5">
                  <c:v>RAJSHAHI</c:v>
                </c:pt>
                <c:pt idx="6">
                  <c:v>RANGPUR</c:v>
                </c:pt>
                <c:pt idx="7">
                  <c:v>SYLHET</c:v>
                </c:pt>
              </c:strCache>
            </c:strRef>
          </c:cat>
          <c:val>
            <c:numRef>
              <c:f>Sheet1!$R$4:$R$12</c:f>
              <c:numCache>
                <c:formatCode>General</c:formatCode>
                <c:ptCount val="8"/>
                <c:pt idx="0">
                  <c:v>6448</c:v>
                </c:pt>
                <c:pt idx="1">
                  <c:v>11067</c:v>
                </c:pt>
                <c:pt idx="2">
                  <c:v>22409</c:v>
                </c:pt>
                <c:pt idx="3">
                  <c:v>3381</c:v>
                </c:pt>
                <c:pt idx="4">
                  <c:v>526</c:v>
                </c:pt>
                <c:pt idx="5">
                  <c:v>5482</c:v>
                </c:pt>
                <c:pt idx="6">
                  <c:v>1914</c:v>
                </c:pt>
                <c:pt idx="7">
                  <c:v>4270</c:v>
                </c:pt>
              </c:numCache>
            </c:numRef>
          </c:val>
          <c:extLst>
            <c:ext xmlns:c16="http://schemas.microsoft.com/office/drawing/2014/chart" uri="{C3380CC4-5D6E-409C-BE32-E72D297353CC}">
              <c16:uniqueId val="{00000001-3508-481F-B7F8-E725D1F2E513}"/>
            </c:ext>
          </c:extLst>
        </c:ser>
        <c:dLbls>
          <c:showLegendKey val="0"/>
          <c:showVal val="0"/>
          <c:showCatName val="0"/>
          <c:showSerName val="0"/>
          <c:showPercent val="0"/>
          <c:showBubbleSize val="0"/>
        </c:dLbls>
        <c:gapWidth val="100"/>
        <c:overlap val="-24"/>
        <c:axId val="1229852831"/>
        <c:axId val="1229859071"/>
      </c:barChart>
      <c:catAx>
        <c:axId val="1229852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859071"/>
        <c:crosses val="autoZero"/>
        <c:auto val="1"/>
        <c:lblAlgn val="ctr"/>
        <c:lblOffset val="100"/>
        <c:noMultiLvlLbl val="0"/>
      </c:catAx>
      <c:valAx>
        <c:axId val="1229859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9852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Enam.xlsx]Sheet3!PivotTable3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a:t>
            </a:r>
            <a:r>
              <a:rPr lang="en-US" baseline="0"/>
              <a:t> Wise Crime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7C-4793-85C6-3340C8F3A0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7C-4793-85C6-3340C8F3A0E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7C-4793-85C6-3340C8F3A0E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E7C-4793-85C6-3340C8F3A0E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E7C-4793-85C6-3340C8F3A0E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E7C-4793-85C6-3340C8F3A0E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E7C-4793-85C6-3340C8F3A0E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E7C-4793-85C6-3340C8F3A0E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E7C-4793-85C6-3340C8F3A0E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E7C-4793-85C6-3340C8F3A0E2}"/>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E7C-4793-85C6-3340C8F3A0E2}"/>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E7C-4793-85C6-3340C8F3A0E2}"/>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E7C-4793-85C6-3340C8F3A0E2}"/>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E7C-4793-85C6-3340C8F3A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Sheet3!$A$4:$A$18</c:f>
              <c:strCache>
                <c:ptCount val="14"/>
                <c:pt idx="0">
                  <c:v>Arms Act</c:v>
                </c:pt>
                <c:pt idx="1">
                  <c:v>Burglary</c:v>
                </c:pt>
                <c:pt idx="2">
                  <c:v>Dacoity</c:v>
                </c:pt>
                <c:pt idx="3">
                  <c:v>Explosive</c:v>
                </c:pt>
                <c:pt idx="4">
                  <c:v>Kidnapping</c:v>
                </c:pt>
                <c:pt idx="5">
                  <c:v>Murder</c:v>
                </c:pt>
                <c:pt idx="6">
                  <c:v>Narcotics</c:v>
                </c:pt>
                <c:pt idx="7">
                  <c:v>Police Assault</c:v>
                </c:pt>
                <c:pt idx="8">
                  <c:v>Riot</c:v>
                </c:pt>
                <c:pt idx="9">
                  <c:v>Robbery</c:v>
                </c:pt>
                <c:pt idx="10">
                  <c:v>Smuggling</c:v>
                </c:pt>
                <c:pt idx="11">
                  <c:v>Speedy Trial</c:v>
                </c:pt>
                <c:pt idx="12">
                  <c:v>Theft</c:v>
                </c:pt>
                <c:pt idx="13">
                  <c:v>Woman &amp; Child Repression</c:v>
                </c:pt>
              </c:strCache>
            </c:strRef>
          </c:cat>
          <c:val>
            <c:numRef>
              <c:f>Sheet3!$B$4:$B$18</c:f>
              <c:numCache>
                <c:formatCode>General</c:formatCode>
                <c:ptCount val="14"/>
                <c:pt idx="0">
                  <c:v>17</c:v>
                </c:pt>
                <c:pt idx="1">
                  <c:v>33</c:v>
                </c:pt>
                <c:pt idx="2">
                  <c:v>2</c:v>
                </c:pt>
                <c:pt idx="3">
                  <c:v>0</c:v>
                </c:pt>
                <c:pt idx="4">
                  <c:v>4</c:v>
                </c:pt>
                <c:pt idx="5">
                  <c:v>15</c:v>
                </c:pt>
                <c:pt idx="6">
                  <c:v>557</c:v>
                </c:pt>
                <c:pt idx="7">
                  <c:v>8</c:v>
                </c:pt>
                <c:pt idx="8">
                  <c:v>0</c:v>
                </c:pt>
                <c:pt idx="9">
                  <c:v>11</c:v>
                </c:pt>
                <c:pt idx="10">
                  <c:v>2</c:v>
                </c:pt>
                <c:pt idx="11">
                  <c:v>5</c:v>
                </c:pt>
                <c:pt idx="12">
                  <c:v>50</c:v>
                </c:pt>
                <c:pt idx="13">
                  <c:v>110</c:v>
                </c:pt>
              </c:numCache>
            </c:numRef>
          </c:val>
          <c:extLst>
            <c:ext xmlns:c16="http://schemas.microsoft.com/office/drawing/2014/chart" uri="{C3380CC4-5D6E-409C-BE32-E72D297353CC}">
              <c16:uniqueId val="{0000001C-FE7C-4793-85C6-3340C8F3A0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4171925106030828E-2"/>
          <c:y val="0.68982706063402954"/>
          <c:w val="0.97370851272901238"/>
          <c:h val="0.306663911486202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Enam.xlsx]Sheet3!PivotTable3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Wise Crime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Sheet3!$A$4:$A$18</c:f>
              <c:strCache>
                <c:ptCount val="14"/>
                <c:pt idx="0">
                  <c:v>Arms Act</c:v>
                </c:pt>
                <c:pt idx="1">
                  <c:v>Burglary</c:v>
                </c:pt>
                <c:pt idx="2">
                  <c:v>Dacoity</c:v>
                </c:pt>
                <c:pt idx="3">
                  <c:v>Explosive</c:v>
                </c:pt>
                <c:pt idx="4">
                  <c:v>Kidnapping</c:v>
                </c:pt>
                <c:pt idx="5">
                  <c:v>Murder</c:v>
                </c:pt>
                <c:pt idx="6">
                  <c:v>Narcotics</c:v>
                </c:pt>
                <c:pt idx="7">
                  <c:v>Police Assault</c:v>
                </c:pt>
                <c:pt idx="8">
                  <c:v>Riot</c:v>
                </c:pt>
                <c:pt idx="9">
                  <c:v>Robbery</c:v>
                </c:pt>
                <c:pt idx="10">
                  <c:v>Smuggling</c:v>
                </c:pt>
                <c:pt idx="11">
                  <c:v>Speedy Trial</c:v>
                </c:pt>
                <c:pt idx="12">
                  <c:v>Theft</c:v>
                </c:pt>
                <c:pt idx="13">
                  <c:v>Woman &amp; Child Repression</c:v>
                </c:pt>
              </c:strCache>
            </c:strRef>
          </c:cat>
          <c:val>
            <c:numRef>
              <c:f>Sheet3!$B$4:$B$18</c:f>
              <c:numCache>
                <c:formatCode>General</c:formatCode>
                <c:ptCount val="14"/>
                <c:pt idx="0">
                  <c:v>17</c:v>
                </c:pt>
                <c:pt idx="1">
                  <c:v>33</c:v>
                </c:pt>
                <c:pt idx="2">
                  <c:v>2</c:v>
                </c:pt>
                <c:pt idx="3">
                  <c:v>0</c:v>
                </c:pt>
                <c:pt idx="4">
                  <c:v>4</c:v>
                </c:pt>
                <c:pt idx="5">
                  <c:v>15</c:v>
                </c:pt>
                <c:pt idx="6">
                  <c:v>557</c:v>
                </c:pt>
                <c:pt idx="7">
                  <c:v>8</c:v>
                </c:pt>
                <c:pt idx="8">
                  <c:v>0</c:v>
                </c:pt>
                <c:pt idx="9">
                  <c:v>11</c:v>
                </c:pt>
                <c:pt idx="10">
                  <c:v>2</c:v>
                </c:pt>
                <c:pt idx="11">
                  <c:v>5</c:v>
                </c:pt>
                <c:pt idx="12">
                  <c:v>50</c:v>
                </c:pt>
                <c:pt idx="13">
                  <c:v>110</c:v>
                </c:pt>
              </c:numCache>
            </c:numRef>
          </c:val>
          <c:extLst>
            <c:ext xmlns:c16="http://schemas.microsoft.com/office/drawing/2014/chart" uri="{C3380CC4-5D6E-409C-BE32-E72D297353CC}">
              <c16:uniqueId val="{00000000-26C7-4E55-B5FF-E73B73BF91E5}"/>
            </c:ext>
          </c:extLst>
        </c:ser>
        <c:dLbls>
          <c:dLblPos val="outEnd"/>
          <c:showLegendKey val="0"/>
          <c:showVal val="1"/>
          <c:showCatName val="0"/>
          <c:showSerName val="0"/>
          <c:showPercent val="0"/>
          <c:showBubbleSize val="0"/>
        </c:dLbls>
        <c:gapWidth val="115"/>
        <c:overlap val="-20"/>
        <c:axId val="1825519311"/>
        <c:axId val="1825526511"/>
      </c:barChart>
      <c:catAx>
        <c:axId val="1825519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5526511"/>
        <c:crosses val="autoZero"/>
        <c:auto val="1"/>
        <c:lblAlgn val="ctr"/>
        <c:lblOffset val="100"/>
        <c:noMultiLvlLbl val="0"/>
      </c:catAx>
      <c:valAx>
        <c:axId val="1825526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55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Rate Dataset - By Enam.xlsx]Sheet5!Top 5 Crime</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Crime By Division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Sheet5!$A$4:$A$12</c:f>
              <c:strCache>
                <c:ptCount val="8"/>
                <c:pt idx="0">
                  <c:v>BARISHAL</c:v>
                </c:pt>
                <c:pt idx="1">
                  <c:v>CHITTAGONG</c:v>
                </c:pt>
                <c:pt idx="2">
                  <c:v>DHAKA</c:v>
                </c:pt>
                <c:pt idx="3">
                  <c:v>KHULNA</c:v>
                </c:pt>
                <c:pt idx="4">
                  <c:v>RAILWAY</c:v>
                </c:pt>
                <c:pt idx="5">
                  <c:v>RAJSHAHI</c:v>
                </c:pt>
                <c:pt idx="6">
                  <c:v>RANGPUR</c:v>
                </c:pt>
                <c:pt idx="7">
                  <c:v>SYLHET</c:v>
                </c:pt>
              </c:strCache>
            </c:strRef>
          </c:cat>
          <c:val>
            <c:numRef>
              <c:f>Sheet5!$B$4:$B$12</c:f>
              <c:numCache>
                <c:formatCode>General</c:formatCode>
                <c:ptCount val="8"/>
                <c:pt idx="0">
                  <c:v>43</c:v>
                </c:pt>
                <c:pt idx="1">
                  <c:v>599</c:v>
                </c:pt>
                <c:pt idx="2">
                  <c:v>630</c:v>
                </c:pt>
                <c:pt idx="3">
                  <c:v>351</c:v>
                </c:pt>
                <c:pt idx="4">
                  <c:v>4</c:v>
                </c:pt>
                <c:pt idx="5">
                  <c:v>336</c:v>
                </c:pt>
                <c:pt idx="6">
                  <c:v>53</c:v>
                </c:pt>
                <c:pt idx="7">
                  <c:v>65</c:v>
                </c:pt>
              </c:numCache>
            </c:numRef>
          </c:val>
          <c:extLst>
            <c:ext xmlns:c16="http://schemas.microsoft.com/office/drawing/2014/chart" uri="{C3380CC4-5D6E-409C-BE32-E72D297353CC}">
              <c16:uniqueId val="{00000000-29AE-4686-BAE7-73C81E312CC7}"/>
            </c:ext>
          </c:extLst>
        </c:ser>
        <c:dLbls>
          <c:dLblPos val="outEnd"/>
          <c:showLegendKey val="0"/>
          <c:showVal val="1"/>
          <c:showCatName val="0"/>
          <c:showSerName val="0"/>
          <c:showPercent val="0"/>
          <c:showBubbleSize val="0"/>
        </c:dLbls>
        <c:gapWidth val="100"/>
        <c:overlap val="-24"/>
        <c:axId val="1952965967"/>
        <c:axId val="1952940047"/>
      </c:barChart>
      <c:catAx>
        <c:axId val="1952965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40047"/>
        <c:crosses val="autoZero"/>
        <c:auto val="1"/>
        <c:lblAlgn val="ctr"/>
        <c:lblOffset val="100"/>
        <c:noMultiLvlLbl val="0"/>
      </c:catAx>
      <c:valAx>
        <c:axId val="1952940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296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48845</xdr:rowOff>
    </xdr:from>
    <xdr:to>
      <xdr:col>6</xdr:col>
      <xdr:colOff>175846</xdr:colOff>
      <xdr:row>48</xdr:row>
      <xdr:rowOff>64769</xdr:rowOff>
    </xdr:to>
    <xdr:graphicFrame macro="">
      <xdr:nvGraphicFramePr>
        <xdr:cNvPr id="2" name="Unit wise total crime">
          <a:extLst>
            <a:ext uri="{FF2B5EF4-FFF2-40B4-BE49-F238E27FC236}">
              <a16:creationId xmlns:a16="http://schemas.microsoft.com/office/drawing/2014/main" id="{B0EB8079-BAC6-01A1-7004-FE6567FFC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284479</xdr:colOff>
      <xdr:row>31</xdr:row>
      <xdr:rowOff>127000</xdr:rowOff>
    </xdr:from>
    <xdr:to>
      <xdr:col>12</xdr:col>
      <xdr:colOff>263769</xdr:colOff>
      <xdr:row>48</xdr:row>
      <xdr:rowOff>68386</xdr:rowOff>
    </xdr:to>
    <xdr:graphicFrame macro="">
      <xdr:nvGraphicFramePr>
        <xdr:cNvPr id="3" name="Divition wise crime rate">
          <a:extLst>
            <a:ext uri="{FF2B5EF4-FFF2-40B4-BE49-F238E27FC236}">
              <a16:creationId xmlns:a16="http://schemas.microsoft.com/office/drawing/2014/main" id="{0575C8B0-F29B-843A-04FA-D02A05A8F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48653</xdr:colOff>
      <xdr:row>49</xdr:row>
      <xdr:rowOff>80987</xdr:rowOff>
    </xdr:from>
    <xdr:to>
      <xdr:col>4</xdr:col>
      <xdr:colOff>146539</xdr:colOff>
      <xdr:row>60</xdr:row>
      <xdr:rowOff>68384</xdr:rowOff>
    </xdr:to>
    <xdr:graphicFrame macro="">
      <xdr:nvGraphicFramePr>
        <xdr:cNvPr id="4" name="Top 3 Crime (unit)">
          <a:extLst>
            <a:ext uri="{FF2B5EF4-FFF2-40B4-BE49-F238E27FC236}">
              <a16:creationId xmlns:a16="http://schemas.microsoft.com/office/drawing/2014/main" id="{D815E460-A685-659B-6263-90FA5A320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273538</xdr:colOff>
      <xdr:row>49</xdr:row>
      <xdr:rowOff>93787</xdr:rowOff>
    </xdr:from>
    <xdr:to>
      <xdr:col>8</xdr:col>
      <xdr:colOff>439615</xdr:colOff>
      <xdr:row>60</xdr:row>
      <xdr:rowOff>39078</xdr:rowOff>
    </xdr:to>
    <xdr:graphicFrame macro="">
      <xdr:nvGraphicFramePr>
        <xdr:cNvPr id="5" name="Chart 4">
          <a:extLst>
            <a:ext uri="{FF2B5EF4-FFF2-40B4-BE49-F238E27FC236}">
              <a16:creationId xmlns:a16="http://schemas.microsoft.com/office/drawing/2014/main" id="{346D0798-010B-A689-09A7-E590E38C1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341922</xdr:colOff>
      <xdr:row>34</xdr:row>
      <xdr:rowOff>64477</xdr:rowOff>
    </xdr:from>
    <xdr:to>
      <xdr:col>17</xdr:col>
      <xdr:colOff>517770</xdr:colOff>
      <xdr:row>48</xdr:row>
      <xdr:rowOff>68385</xdr:rowOff>
    </xdr:to>
    <xdr:graphicFrame macro="">
      <xdr:nvGraphicFramePr>
        <xdr:cNvPr id="6" name="Divition Wise Total Crime">
          <a:extLst>
            <a:ext uri="{FF2B5EF4-FFF2-40B4-BE49-F238E27FC236}">
              <a16:creationId xmlns:a16="http://schemas.microsoft.com/office/drawing/2014/main" id="{9EDB636D-1D60-6747-B74D-F90BA0538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19539</xdr:colOff>
      <xdr:row>49</xdr:row>
      <xdr:rowOff>93785</xdr:rowOff>
    </xdr:from>
    <xdr:to>
      <xdr:col>15</xdr:col>
      <xdr:colOff>508000</xdr:colOff>
      <xdr:row>64</xdr:row>
      <xdr:rowOff>52754</xdr:rowOff>
    </xdr:to>
    <xdr:graphicFrame macro="">
      <xdr:nvGraphicFramePr>
        <xdr:cNvPr id="7" name="Chart 6">
          <a:extLst>
            <a:ext uri="{FF2B5EF4-FFF2-40B4-BE49-F238E27FC236}">
              <a16:creationId xmlns:a16="http://schemas.microsoft.com/office/drawing/2014/main" id="{609C78A3-074F-33C2-C152-9388664ED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771769</xdr:colOff>
      <xdr:row>17</xdr:row>
      <xdr:rowOff>152399</xdr:rowOff>
    </xdr:from>
    <xdr:to>
      <xdr:col>23</xdr:col>
      <xdr:colOff>537308</xdr:colOff>
      <xdr:row>49</xdr:row>
      <xdr:rowOff>39076</xdr:rowOff>
    </xdr:to>
    <xdr:graphicFrame macro="">
      <xdr:nvGraphicFramePr>
        <xdr:cNvPr id="8" name="Top 5 Crime">
          <a:extLst>
            <a:ext uri="{FF2B5EF4-FFF2-40B4-BE49-F238E27FC236}">
              <a16:creationId xmlns:a16="http://schemas.microsoft.com/office/drawing/2014/main" id="{85F73B62-E93A-6BDE-066F-3D69F852D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11</xdr:col>
      <xdr:colOff>525780</xdr:colOff>
      <xdr:row>21</xdr:row>
      <xdr:rowOff>41910</xdr:rowOff>
    </xdr:to>
    <xdr:graphicFrame macro="">
      <xdr:nvGraphicFramePr>
        <xdr:cNvPr id="2" name="Chart 1">
          <a:extLst>
            <a:ext uri="{FF2B5EF4-FFF2-40B4-BE49-F238E27FC236}">
              <a16:creationId xmlns:a16="http://schemas.microsoft.com/office/drawing/2014/main" id="{65AF257B-F85D-1981-CCE0-EA57989A0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464820</xdr:colOff>
      <xdr:row>2</xdr:row>
      <xdr:rowOff>137160</xdr:rowOff>
    </xdr:from>
    <xdr:to>
      <xdr:col>18</xdr:col>
      <xdr:colOff>464820</xdr:colOff>
      <xdr:row>16</xdr:row>
      <xdr:rowOff>43815</xdr:rowOff>
    </xdr:to>
    <mc:AlternateContent xmlns:mc="http://schemas.openxmlformats.org/markup-compatibility/2006" xmlns:a14="http://schemas.microsoft.com/office/drawing/2010/main">
      <mc:Choice Requires="a14">
        <xdr:graphicFrame macro="">
          <xdr:nvGraphicFramePr>
            <xdr:cNvPr id="3" name="Crime Type">
              <a:extLst>
                <a:ext uri="{FF2B5EF4-FFF2-40B4-BE49-F238E27FC236}">
                  <a16:creationId xmlns:a16="http://schemas.microsoft.com/office/drawing/2014/main" id="{64E1FC2E-41A7-6576-2069-8124FA3AE4B6}"/>
                </a:ext>
              </a:extLst>
            </xdr:cNvPr>
            <xdr:cNvGraphicFramePr/>
          </xdr:nvGraphicFramePr>
          <xdr:xfrm>
            <a:off x="0" y="0"/>
            <a:ext cx="0" cy="0"/>
          </xdr:xfrm>
          <a:graphic>
            <a:graphicData uri="http://schemas.microsoft.com/office/drawing/2010/slicer">
              <sle:slicer xmlns:sle="http://schemas.microsoft.com/office/drawing/2010/slicer" name="Crime Type"/>
            </a:graphicData>
          </a:graphic>
        </xdr:graphicFrame>
      </mc:Choice>
      <mc:Fallback xmlns="">
        <xdr:sp macro="" textlink="">
          <xdr:nvSpPr>
            <xdr:cNvPr id="0" name=""/>
            <xdr:cNvSpPr>
              <a:spLocks noTextEdit="1"/>
            </xdr:cNvSpPr>
          </xdr:nvSpPr>
          <xdr:spPr>
            <a:xfrm>
              <a:off x="10081260" y="502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365760</xdr:colOff>
      <xdr:row>1</xdr:row>
      <xdr:rowOff>160020</xdr:rowOff>
    </xdr:from>
    <xdr:to>
      <xdr:col>12</xdr:col>
      <xdr:colOff>274320</xdr:colOff>
      <xdr:row>17</xdr:row>
      <xdr:rowOff>144780</xdr:rowOff>
    </xdr:to>
    <xdr:graphicFrame macro="">
      <xdr:nvGraphicFramePr>
        <xdr:cNvPr id="2" name="Unit Wise All Cases">
          <a:extLst>
            <a:ext uri="{FF2B5EF4-FFF2-40B4-BE49-F238E27FC236}">
              <a16:creationId xmlns:a16="http://schemas.microsoft.com/office/drawing/2014/main" id="{CAAA7C00-E970-2912-5DCA-22C31C873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396240</xdr:colOff>
      <xdr:row>2</xdr:row>
      <xdr:rowOff>15240</xdr:rowOff>
    </xdr:from>
    <xdr:to>
      <xdr:col>15</xdr:col>
      <xdr:colOff>396240</xdr:colOff>
      <xdr:row>15</xdr:row>
      <xdr:rowOff>104775</xdr:rowOff>
    </xdr:to>
    <mc:AlternateContent xmlns:mc="http://schemas.openxmlformats.org/markup-compatibility/2006" xmlns:a14="http://schemas.microsoft.com/office/drawing/2010/main">
      <mc:Choice Requires="a14">
        <xdr:graphicFrame macro="">
          <xdr:nvGraphicFramePr>
            <xdr:cNvPr id="3" name="Unit Name">
              <a:extLst>
                <a:ext uri="{FF2B5EF4-FFF2-40B4-BE49-F238E27FC236}">
                  <a16:creationId xmlns:a16="http://schemas.microsoft.com/office/drawing/2014/main" id="{75449FCD-E569-231E-F1A9-B86F93CFEA2A}"/>
                </a:ext>
              </a:extLst>
            </xdr:cNvPr>
            <xdr:cNvGraphicFramePr/>
          </xdr:nvGraphicFramePr>
          <xdr:xfrm>
            <a:off x="0" y="0"/>
            <a:ext cx="0" cy="0"/>
          </xdr:xfrm>
          <a:graphic>
            <a:graphicData uri="http://schemas.microsoft.com/office/drawing/2010/slicer">
              <sle:slicer xmlns:sle="http://schemas.microsoft.com/office/drawing/2010/slicer" name="Unit Name"/>
            </a:graphicData>
          </a:graphic>
        </xdr:graphicFrame>
      </mc:Choice>
      <mc:Fallback xmlns="">
        <xdr:sp macro="" textlink="">
          <xdr:nvSpPr>
            <xdr:cNvPr id="0" name=""/>
            <xdr:cNvSpPr>
              <a:spLocks noTextEdit="1"/>
            </xdr:cNvSpPr>
          </xdr:nvSpPr>
          <xdr:spPr>
            <a:xfrm>
              <a:off x="9060180" y="381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365760</xdr:colOff>
      <xdr:row>18</xdr:row>
      <xdr:rowOff>80010</xdr:rowOff>
    </xdr:from>
    <xdr:to>
      <xdr:col>12</xdr:col>
      <xdr:colOff>274320</xdr:colOff>
      <xdr:row>33</xdr:row>
      <xdr:rowOff>114300</xdr:rowOff>
    </xdr:to>
    <xdr:graphicFrame macro="">
      <xdr:nvGraphicFramePr>
        <xdr:cNvPr id="4" name="Unit Wise Total Cases">
          <a:extLst>
            <a:ext uri="{FF2B5EF4-FFF2-40B4-BE49-F238E27FC236}">
              <a16:creationId xmlns:a16="http://schemas.microsoft.com/office/drawing/2014/main" id="{A0584FB5-1E12-0F7B-3AEC-502300DF3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68944</xdr:colOff>
      <xdr:row>1</xdr:row>
      <xdr:rowOff>0</xdr:rowOff>
    </xdr:from>
    <xdr:to>
      <xdr:col>28</xdr:col>
      <xdr:colOff>596748</xdr:colOff>
      <xdr:row>18</xdr:row>
      <xdr:rowOff>161193</xdr:rowOff>
    </xdr:to>
    <xdr:graphicFrame macro="">
      <xdr:nvGraphicFramePr>
        <xdr:cNvPr id="8" name="Unit wise total crime">
          <a:extLst>
            <a:ext uri="{FF2B5EF4-FFF2-40B4-BE49-F238E27FC236}">
              <a16:creationId xmlns:a16="http://schemas.microsoft.com/office/drawing/2014/main" id="{AB471FCA-7C30-4457-B70A-70D660D59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321734</xdr:colOff>
      <xdr:row>16</xdr:row>
      <xdr:rowOff>18143</xdr:rowOff>
    </xdr:from>
    <xdr:to>
      <xdr:col>20</xdr:col>
      <xdr:colOff>101601</xdr:colOff>
      <xdr:row>33</xdr:row>
      <xdr:rowOff>0</xdr:rowOff>
    </xdr:to>
    <xdr:graphicFrame macro="">
      <xdr:nvGraphicFramePr>
        <xdr:cNvPr id="9" name="Divition wise crime rate">
          <a:extLst>
            <a:ext uri="{FF2B5EF4-FFF2-40B4-BE49-F238E27FC236}">
              <a16:creationId xmlns:a16="http://schemas.microsoft.com/office/drawing/2014/main" id="{F346355B-76E5-40BF-9D4D-C51E34E2C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7321</xdr:colOff>
      <xdr:row>32</xdr:row>
      <xdr:rowOff>179294</xdr:rowOff>
    </xdr:from>
    <xdr:to>
      <xdr:col>23</xdr:col>
      <xdr:colOff>254000</xdr:colOff>
      <xdr:row>42</xdr:row>
      <xdr:rowOff>16933</xdr:rowOff>
    </xdr:to>
    <xdr:graphicFrame macro="">
      <xdr:nvGraphicFramePr>
        <xdr:cNvPr id="10" name="Top 3 Crime (unit)">
          <a:extLst>
            <a:ext uri="{FF2B5EF4-FFF2-40B4-BE49-F238E27FC236}">
              <a16:creationId xmlns:a16="http://schemas.microsoft.com/office/drawing/2014/main" id="{DC3BC482-4745-49F5-97A1-78B6971BC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250521</xdr:colOff>
      <xdr:row>33</xdr:row>
      <xdr:rowOff>1790</xdr:rowOff>
    </xdr:from>
    <xdr:to>
      <xdr:col>28</xdr:col>
      <xdr:colOff>596747</xdr:colOff>
      <xdr:row>42</xdr:row>
      <xdr:rowOff>22410</xdr:rowOff>
    </xdr:to>
    <xdr:graphicFrame macro="">
      <xdr:nvGraphicFramePr>
        <xdr:cNvPr id="11" name="Chart 10">
          <a:extLst>
            <a:ext uri="{FF2B5EF4-FFF2-40B4-BE49-F238E27FC236}">
              <a16:creationId xmlns:a16="http://schemas.microsoft.com/office/drawing/2014/main" id="{21E9CF45-0E29-4AA8-91B2-F73072BFA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93504</xdr:colOff>
      <xdr:row>18</xdr:row>
      <xdr:rowOff>144287</xdr:rowOff>
    </xdr:from>
    <xdr:to>
      <xdr:col>28</xdr:col>
      <xdr:colOff>596747</xdr:colOff>
      <xdr:row>33</xdr:row>
      <xdr:rowOff>0</xdr:rowOff>
    </xdr:to>
    <xdr:graphicFrame macro="">
      <xdr:nvGraphicFramePr>
        <xdr:cNvPr id="12" name="Divition Wise Total Crime">
          <a:extLst>
            <a:ext uri="{FF2B5EF4-FFF2-40B4-BE49-F238E27FC236}">
              <a16:creationId xmlns:a16="http://schemas.microsoft.com/office/drawing/2014/main" id="{8F93C913-BB6C-441E-AB94-33CF60CD4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596686</xdr:colOff>
      <xdr:row>1</xdr:row>
      <xdr:rowOff>0</xdr:rowOff>
    </xdr:from>
    <xdr:to>
      <xdr:col>35</xdr:col>
      <xdr:colOff>594360</xdr:colOff>
      <xdr:row>42</xdr:row>
      <xdr:rowOff>10439</xdr:rowOff>
    </xdr:to>
    <xdr:graphicFrame macro="">
      <xdr:nvGraphicFramePr>
        <xdr:cNvPr id="13" name="Chart 12">
          <a:extLst>
            <a:ext uri="{FF2B5EF4-FFF2-40B4-BE49-F238E27FC236}">
              <a16:creationId xmlns:a16="http://schemas.microsoft.com/office/drawing/2014/main" id="{E9E454F0-84C3-4C1F-A65E-4FF565FD2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598715</xdr:colOff>
      <xdr:row>17</xdr:row>
      <xdr:rowOff>33867</xdr:rowOff>
    </xdr:from>
    <xdr:to>
      <xdr:col>12</xdr:col>
      <xdr:colOff>372534</xdr:colOff>
      <xdr:row>33</xdr:row>
      <xdr:rowOff>1</xdr:rowOff>
    </xdr:to>
    <xdr:graphicFrame macro="">
      <xdr:nvGraphicFramePr>
        <xdr:cNvPr id="14" name="Unit Wise All Cases">
          <a:extLst>
            <a:ext uri="{FF2B5EF4-FFF2-40B4-BE49-F238E27FC236}">
              <a16:creationId xmlns:a16="http://schemas.microsoft.com/office/drawing/2014/main" id="{1E9BF76A-431D-4202-BE70-01FEFC68B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13608</xdr:colOff>
      <xdr:row>1</xdr:row>
      <xdr:rowOff>1</xdr:rowOff>
    </xdr:from>
    <xdr:to>
      <xdr:col>3</xdr:col>
      <xdr:colOff>2178</xdr:colOff>
      <xdr:row>33</xdr:row>
      <xdr:rowOff>249116</xdr:rowOff>
    </xdr:to>
    <mc:AlternateContent xmlns:mc="http://schemas.openxmlformats.org/markup-compatibility/2006" xmlns:a14="http://schemas.microsoft.com/office/drawing/2010/main">
      <mc:Choice Requires="a14">
        <xdr:graphicFrame macro="">
          <xdr:nvGraphicFramePr>
            <xdr:cNvPr id="15" name="ALL UNIT">
              <a:extLst>
                <a:ext uri="{FF2B5EF4-FFF2-40B4-BE49-F238E27FC236}">
                  <a16:creationId xmlns:a16="http://schemas.microsoft.com/office/drawing/2014/main" id="{60B7903B-E718-4241-9FA1-2900DE03DF2C}"/>
                </a:ext>
              </a:extLst>
            </xdr:cNvPr>
            <xdr:cNvGraphicFramePr/>
          </xdr:nvGraphicFramePr>
          <xdr:xfrm>
            <a:off x="0" y="0"/>
            <a:ext cx="0" cy="0"/>
          </xdr:xfrm>
          <a:graphic>
            <a:graphicData uri="http://schemas.microsoft.com/office/drawing/2010/slicer">
              <sle:slicer xmlns:sle="http://schemas.microsoft.com/office/drawing/2010/slicer" name="ALL UNIT"/>
            </a:graphicData>
          </a:graphic>
        </xdr:graphicFrame>
      </mc:Choice>
      <mc:Fallback xmlns="">
        <xdr:sp macro="" textlink="">
          <xdr:nvSpPr>
            <xdr:cNvPr id="0" name=""/>
            <xdr:cNvSpPr>
              <a:spLocks noTextEdit="1"/>
            </xdr:cNvSpPr>
          </xdr:nvSpPr>
          <xdr:spPr>
            <a:xfrm>
              <a:off x="13608" y="441961"/>
              <a:ext cx="1821461" cy="888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xdr:row>
      <xdr:rowOff>8860</xdr:rowOff>
    </xdr:from>
    <xdr:to>
      <xdr:col>12</xdr:col>
      <xdr:colOff>321734</xdr:colOff>
      <xdr:row>17</xdr:row>
      <xdr:rowOff>33867</xdr:rowOff>
    </xdr:to>
    <xdr:graphicFrame macro="">
      <xdr:nvGraphicFramePr>
        <xdr:cNvPr id="16" name="Unit Wise Total Cases">
          <a:extLst>
            <a:ext uri="{FF2B5EF4-FFF2-40B4-BE49-F238E27FC236}">
              <a16:creationId xmlns:a16="http://schemas.microsoft.com/office/drawing/2014/main" id="{4B6749EF-9784-4BFC-90F6-003623795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320040</xdr:colOff>
      <xdr:row>1</xdr:row>
      <xdr:rowOff>15240</xdr:rowOff>
    </xdr:from>
    <xdr:to>
      <xdr:col>20</xdr:col>
      <xdr:colOff>76200</xdr:colOff>
      <xdr:row>16</xdr:row>
      <xdr:rowOff>15240</xdr:rowOff>
    </xdr:to>
    <xdr:graphicFrame macro="">
      <xdr:nvGraphicFramePr>
        <xdr:cNvPr id="5" name="Chart 4">
          <a:extLst>
            <a:ext uri="{FF2B5EF4-FFF2-40B4-BE49-F238E27FC236}">
              <a16:creationId xmlns:a16="http://schemas.microsoft.com/office/drawing/2014/main" id="{1FEF0A94-8322-4A8E-BC9D-772F94888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33</xdr:row>
      <xdr:rowOff>479581</xdr:rowOff>
    </xdr:from>
    <xdr:to>
      <xdr:col>3</xdr:col>
      <xdr:colOff>0</xdr:colOff>
      <xdr:row>42</xdr:row>
      <xdr:rowOff>0</xdr:rowOff>
    </xdr:to>
    <mc:AlternateContent xmlns:mc="http://schemas.openxmlformats.org/markup-compatibility/2006" xmlns:a14="http://schemas.microsoft.com/office/drawing/2010/main">
      <mc:Choice Requires="a14">
        <xdr:graphicFrame macro="">
          <xdr:nvGraphicFramePr>
            <xdr:cNvPr id="6" name="TOP 5 CRIME">
              <a:extLst>
                <a:ext uri="{FF2B5EF4-FFF2-40B4-BE49-F238E27FC236}">
                  <a16:creationId xmlns:a16="http://schemas.microsoft.com/office/drawing/2014/main" id="{CB579AC2-ABD5-4162-8222-F02A171B24C9}"/>
                </a:ext>
              </a:extLst>
            </xdr:cNvPr>
            <xdr:cNvGraphicFramePr/>
          </xdr:nvGraphicFramePr>
          <xdr:xfrm>
            <a:off x="0" y="0"/>
            <a:ext cx="0" cy="0"/>
          </xdr:xfrm>
          <a:graphic>
            <a:graphicData uri="http://schemas.microsoft.com/office/drawing/2010/slicer">
              <sle:slicer xmlns:sle="http://schemas.microsoft.com/office/drawing/2010/slicer" name="TOP 5 CRIME"/>
            </a:graphicData>
          </a:graphic>
        </xdr:graphicFrame>
      </mc:Choice>
      <mc:Fallback xmlns="">
        <xdr:sp macro="" textlink="">
          <xdr:nvSpPr>
            <xdr:cNvPr id="0" name=""/>
            <xdr:cNvSpPr>
              <a:spLocks noTextEdit="1"/>
            </xdr:cNvSpPr>
          </xdr:nvSpPr>
          <xdr:spPr>
            <a:xfrm>
              <a:off x="0" y="6686417"/>
              <a:ext cx="1828800" cy="2416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rma-Executive, Sales Admin-Enam Kobir" refreshedDate="45950.921326620373" createdVersion="8" refreshedVersion="8" minRefreshableVersion="3" recordCount="14" xr:uid="{D99441A1-5322-4D03-BD33-EA88E20816CE}">
  <cacheSource type="worksheet">
    <worksheetSource ref="A3:R17" sheet="Main"/>
  </cacheSource>
  <cacheFields count="18">
    <cacheField name="Unit Name" numFmtId="0">
      <sharedItems count="14">
        <s v="DMP"/>
        <s v="CMP"/>
        <s v="KMP"/>
        <s v="RMP"/>
        <s v="BMP"/>
        <s v="SMP"/>
        <s v="Dhaka Range"/>
        <s v="Chittagong Range"/>
        <s v="Sylhet Range"/>
        <s v="Khulna Range"/>
        <s v="Barisal Range"/>
        <s v="Rajshahi Range"/>
        <s v="Rangpur Range"/>
        <s v="Railway Range"/>
      </sharedItems>
    </cacheField>
    <cacheField name="Division" numFmtId="0">
      <sharedItems count="8">
        <s v="DHAKA"/>
        <s v="CHITTAGONG"/>
        <s v="KHULNA"/>
        <s v="RAJSHAHI"/>
        <s v="BARISHAL"/>
        <s v="SYLHET"/>
        <s v="RANGPUR"/>
        <s v="RAILWAY"/>
      </sharedItems>
    </cacheField>
    <cacheField name="Dacoity" numFmtId="0">
      <sharedItems containsSemiMixedTypes="0" containsString="0" containsNumber="1" containsInteger="1" minValue="0" maxValue="150" count="13">
        <n v="45"/>
        <n v="5"/>
        <n v="9"/>
        <n v="0"/>
        <n v="2"/>
        <n v="19"/>
        <n v="150"/>
        <n v="107"/>
        <n v="26"/>
        <n v="41"/>
        <n v="31"/>
        <n v="37"/>
        <n v="17"/>
      </sharedItems>
    </cacheField>
    <cacheField name="Robbery" numFmtId="0">
      <sharedItems containsSemiMixedTypes="0" containsString="0" containsNumber="1" containsInteger="1" minValue="10" maxValue="205"/>
    </cacheField>
    <cacheField name="Murder" numFmtId="0">
      <sharedItems containsSemiMixedTypes="0" containsString="0" containsNumber="1" containsInteger="1" minValue="15" maxValue="1237"/>
    </cacheField>
    <cacheField name="Speedy Trial" numFmtId="0">
      <sharedItems containsSemiMixedTypes="0" containsString="0" containsNumber="1" containsInteger="1" minValue="2" maxValue="558"/>
    </cacheField>
    <cacheField name="Riot" numFmtId="0">
      <sharedItems containsSemiMixedTypes="0" containsString="0" containsNumber="1" containsInteger="1" minValue="0" maxValue="28"/>
    </cacheField>
    <cacheField name="Woman &amp; Child Repression" numFmtId="0">
      <sharedItems containsSemiMixedTypes="0" containsString="0" containsNumber="1" containsInteger="1" minValue="5" maxValue="5052"/>
    </cacheField>
    <cacheField name="Kidnapping" numFmtId="0">
      <sharedItems containsSemiMixedTypes="0" containsString="0" containsNumber="1" containsInteger="1" minValue="4" maxValue="205"/>
    </cacheField>
    <cacheField name="Police Assault" numFmtId="0">
      <sharedItems containsSemiMixedTypes="0" containsString="0" containsNumber="1" containsInteger="1" minValue="1" maxValue="163"/>
    </cacheField>
    <cacheField name="Burglary" numFmtId="0">
      <sharedItems containsSemiMixedTypes="0" containsString="0" containsNumber="1" containsInteger="1" minValue="1" maxValue="642"/>
    </cacheField>
    <cacheField name="Theft" numFmtId="0">
      <sharedItems containsSemiMixedTypes="0" containsString="0" containsNumber="1" containsInteger="1" minValue="50" maxValue="1711"/>
    </cacheField>
    <cacheField name="OtherCases" numFmtId="0">
      <sharedItems containsSemiMixedTypes="0" containsString="0" containsNumber="1" containsInteger="1" minValue="138" maxValue="20522"/>
    </cacheField>
    <cacheField name="Arms Act" numFmtId="0">
      <sharedItems containsSemiMixedTypes="0" containsString="0" containsNumber="1" containsInteger="1" minValue="4" maxValue="498"/>
    </cacheField>
    <cacheField name="Explosive" numFmtId="0">
      <sharedItems containsSemiMixedTypes="0" containsString="0" containsNumber="1" containsInteger="1" minValue="0" maxValue="195"/>
    </cacheField>
    <cacheField name="Narcotics" numFmtId="0">
      <sharedItems containsSemiMixedTypes="0" containsString="0" containsNumber="1" containsInteger="1" minValue="183" maxValue="12430"/>
    </cacheField>
    <cacheField name="Smuggling" numFmtId="0">
      <sharedItems containsSemiMixedTypes="0" containsString="0" containsNumber="1" containsInteger="1" minValue="2" maxValue="2072"/>
    </cacheField>
    <cacheField name="Total" numFmtId="0">
      <sharedItems containsSemiMixedTypes="0" containsString="0" containsNumber="1" containsInteger="1" minValue="788" maxValue="4342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rma-Executive, Sales Admin-Enam Kobir" refreshedDate="45951.021184490739" createdVersion="8" refreshedVersion="8" minRefreshableVersion="3" recordCount="14" xr:uid="{8A24FFDB-9572-4A45-B36C-CEAD152D24A4}">
  <cacheSource type="worksheet">
    <worksheetSource ref="A3:T17" sheet="Main"/>
  </cacheSource>
  <cacheFields count="19">
    <cacheField name="Unit Name" numFmtId="0">
      <sharedItems count="14">
        <s v="DMP"/>
        <s v="CMP"/>
        <s v="KMP"/>
        <s v="RMP"/>
        <s v="BMP"/>
        <s v="SMP"/>
        <s v="Dhaka Range"/>
        <s v="Chittagong Range"/>
        <s v="Sylhet Range"/>
        <s v="Khulna Range"/>
        <s v="Barisal Range"/>
        <s v="Rajshahi Range"/>
        <s v="Rangpur Range"/>
        <s v="Railway Range"/>
      </sharedItems>
    </cacheField>
    <cacheField name="Division" numFmtId="0">
      <sharedItems count="8">
        <s v="DHAKA"/>
        <s v="CHITTAGONG"/>
        <s v="KHULNA"/>
        <s v="RAJSHAHI"/>
        <s v="BARISHAL"/>
        <s v="SYLHET"/>
        <s v="RANGPUR"/>
        <s v="RAILWAY"/>
      </sharedItems>
    </cacheField>
    <cacheField name="Dacoity" numFmtId="0">
      <sharedItems containsSemiMixedTypes="0" containsString="0" containsNumber="1" containsInteger="1" minValue="0" maxValue="150"/>
    </cacheField>
    <cacheField name="Robbery" numFmtId="0">
      <sharedItems containsSemiMixedTypes="0" containsString="0" containsNumber="1" containsInteger="1" minValue="10" maxValue="205"/>
    </cacheField>
    <cacheField name="Murder" numFmtId="0">
      <sharedItems containsSemiMixedTypes="0" containsString="0" containsNumber="1" containsInteger="1" minValue="15" maxValue="1237"/>
    </cacheField>
    <cacheField name="Speedy Trial" numFmtId="0">
      <sharedItems containsSemiMixedTypes="0" containsString="0" containsNumber="1" containsInteger="1" minValue="2" maxValue="558"/>
    </cacheField>
    <cacheField name="Riot" numFmtId="0">
      <sharedItems containsSemiMixedTypes="0" containsString="0" containsNumber="1" containsInteger="1" minValue="0" maxValue="28"/>
    </cacheField>
    <cacheField name="Woman &amp; Child Repression" numFmtId="0">
      <sharedItems containsSemiMixedTypes="0" containsString="0" containsNumber="1" containsInteger="1" minValue="5" maxValue="5052"/>
    </cacheField>
    <cacheField name="Kidnapping" numFmtId="0">
      <sharedItems containsSemiMixedTypes="0" containsString="0" containsNumber="1" containsInteger="1" minValue="4" maxValue="205"/>
    </cacheField>
    <cacheField name="Police Assault" numFmtId="0">
      <sharedItems containsSemiMixedTypes="0" containsString="0" containsNumber="1" containsInteger="1" minValue="1" maxValue="163"/>
    </cacheField>
    <cacheField name="Burglary" numFmtId="0">
      <sharedItems containsSemiMixedTypes="0" containsString="0" containsNumber="1" containsInteger="1" minValue="1" maxValue="642"/>
    </cacheField>
    <cacheField name="Theft" numFmtId="0">
      <sharedItems containsSemiMixedTypes="0" containsString="0" containsNumber="1" containsInteger="1" minValue="50" maxValue="1711"/>
    </cacheField>
    <cacheField name="OtherCases" numFmtId="0">
      <sharedItems containsSemiMixedTypes="0" containsString="0" containsNumber="1" containsInteger="1" minValue="138" maxValue="20522"/>
    </cacheField>
    <cacheField name="Arms Act" numFmtId="0">
      <sharedItems containsSemiMixedTypes="0" containsString="0" containsNumber="1" containsInteger="1" minValue="4" maxValue="498"/>
    </cacheField>
    <cacheField name="Explosive" numFmtId="0">
      <sharedItems containsSemiMixedTypes="0" containsString="0" containsNumber="1" containsInteger="1" minValue="0" maxValue="195"/>
    </cacheField>
    <cacheField name="Narcotics" numFmtId="0">
      <sharedItems containsSemiMixedTypes="0" containsString="0" containsNumber="1" containsInteger="1" minValue="183" maxValue="12430"/>
    </cacheField>
    <cacheField name="Smuggling" numFmtId="0">
      <sharedItems containsSemiMixedTypes="0" containsString="0" containsNumber="1" containsInteger="1" minValue="2" maxValue="2072"/>
    </cacheField>
    <cacheField name="Total Crime" numFmtId="0">
      <sharedItems containsSemiMixedTypes="0" containsString="0" containsNumber="1" containsInteger="1" minValue="788" maxValue="43422"/>
    </cacheField>
    <cacheField name="Total Recovery" numFmtId="0">
      <sharedItems containsSemiMixedTypes="0" containsString="0" containsNumber="1" containsInteger="1" minValue="207" maxValue="13385"/>
    </cacheField>
  </cacheFields>
  <extLst>
    <ext xmlns:x14="http://schemas.microsoft.com/office/spreadsheetml/2009/9/main" uri="{725AE2AE-9491-48be-B2B4-4EB974FC3084}">
      <x14:pivotCacheDefinition pivotCacheId="55086898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rma-Executive, Sales Admin-Enam Kobir" refreshedDate="45951.940224305552" createdVersion="8" refreshedVersion="8" minRefreshableVersion="3" recordCount="196" xr:uid="{0B61C2D4-5F4A-4713-A582-E9FE567A2344}">
  <cacheSource type="worksheet">
    <worksheetSource ref="A2:E198" sheet="Sheet2"/>
  </cacheSource>
  <cacheFields count="4">
    <cacheField name="Unit Name" numFmtId="0">
      <sharedItems count="14">
        <s v="DMP"/>
        <s v="CMP"/>
        <s v="KMP"/>
        <s v="RMP"/>
        <s v="BMP"/>
        <s v="SMP"/>
        <s v="Dhaka Range"/>
        <s v="Chittagong Range"/>
        <s v="Sylhet Range"/>
        <s v="Khulna Range"/>
        <s v="Barisal Range"/>
        <s v="Rajshahi Range"/>
        <s v="Rangpur Range"/>
        <s v="Railway Range"/>
      </sharedItems>
    </cacheField>
    <cacheField name="Divition" numFmtId="0">
      <sharedItems/>
    </cacheField>
    <cacheField name="Crime Type" numFmtId="0">
      <sharedItems count="15">
        <s v="Dacoity"/>
        <s v="Robbery"/>
        <s v="Murder"/>
        <s v="Speedy Trial"/>
        <s v="Riot"/>
        <s v="Woman &amp; Child Repression"/>
        <s v="Kidnapping"/>
        <s v="Police Assault"/>
        <s v="Burglary"/>
        <s v="Theft"/>
        <s v="Arms Act"/>
        <s v="Explosive"/>
        <s v="Narcotics"/>
        <s v="Smuggling"/>
        <s v="OtherCases" u="1"/>
      </sharedItems>
    </cacheField>
    <cacheField name="Cases" numFmtId="0">
      <sharedItems containsSemiMixedTypes="0" containsString="0" containsNumber="1" containsInteger="1" minValue="0" maxValue="12430"/>
    </cacheField>
  </cacheFields>
  <extLst>
    <ext xmlns:x14="http://schemas.microsoft.com/office/spreadsheetml/2009/9/main" uri="{725AE2AE-9491-48be-B2B4-4EB974FC3084}">
      <x14:pivotCacheDefinition pivotCacheId="9612116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rma-Executive, Sales Admin-Enam Kobir" refreshedDate="45951.946472337964" createdVersion="8" refreshedVersion="8" minRefreshableVersion="3" recordCount="70" xr:uid="{CEE74461-7141-4181-BAD3-A7325B29D8F6}">
  <cacheSource type="worksheet">
    <worksheetSource ref="A1:E71" sheet="Sheet4"/>
  </cacheSource>
  <cacheFields count="5">
    <cacheField name="Unit Name" numFmtId="0">
      <sharedItems/>
    </cacheField>
    <cacheField name="Divition" numFmtId="0">
      <sharedItems count="8">
        <s v="DHAKA"/>
        <s v="CHITTAGONG"/>
        <s v="KHULNA"/>
        <s v="RAJSHAHI"/>
        <s v="BARISHAL"/>
        <s v="SYLHET"/>
        <s v="RANGPUR"/>
        <s v="RAILWAY"/>
      </sharedItems>
    </cacheField>
    <cacheField name="Crime Type" numFmtId="0">
      <sharedItems count="5">
        <s v="Dacoity"/>
        <s v="Murder"/>
        <s v="Woman &amp; Child Repression"/>
        <s v="Kidnapping"/>
        <s v="Arms Act"/>
      </sharedItems>
    </cacheField>
    <cacheField name="Rank" numFmtId="0">
      <sharedItems containsSemiMixedTypes="0" containsString="0" containsNumber="1" containsInteger="1" minValue="1" maxValue="5"/>
    </cacheField>
    <cacheField name="Cases" numFmtId="0">
      <sharedItems containsSemiMixedTypes="0" containsString="0" containsNumber="1" containsInteger="1" minValue="0" maxValue="5052"/>
    </cacheField>
  </cacheFields>
  <extLst>
    <ext xmlns:x14="http://schemas.microsoft.com/office/spreadsheetml/2009/9/main" uri="{725AE2AE-9491-48be-B2B4-4EB974FC3084}">
      <x14:pivotCacheDefinition pivotCacheId="1641565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n v="205"/>
    <n v="239"/>
    <n v="226"/>
    <n v="26"/>
    <n v="1550"/>
    <n v="146"/>
    <n v="118"/>
    <n v="642"/>
    <n v="1711"/>
    <n v="5795"/>
    <n v="263"/>
    <n v="195"/>
    <n v="8365"/>
    <n v="201"/>
    <n v="19727"/>
  </r>
  <r>
    <x v="1"/>
    <x v="1"/>
    <x v="1"/>
    <n v="61"/>
    <n v="105"/>
    <n v="67"/>
    <n v="25"/>
    <n v="357"/>
    <n v="51"/>
    <n v="30"/>
    <n v="128"/>
    <n v="262"/>
    <n v="1497"/>
    <n v="101"/>
    <n v="40"/>
    <n v="2090"/>
    <n v="43"/>
    <n v="4862"/>
  </r>
  <r>
    <x v="2"/>
    <x v="2"/>
    <x v="2"/>
    <n v="15"/>
    <n v="30"/>
    <n v="19"/>
    <n v="0"/>
    <n v="146"/>
    <n v="7"/>
    <n v="3"/>
    <n v="49"/>
    <n v="95"/>
    <n v="574"/>
    <n v="21"/>
    <n v="13"/>
    <n v="659"/>
    <n v="2"/>
    <n v="1642"/>
  </r>
  <r>
    <x v="3"/>
    <x v="3"/>
    <x v="3"/>
    <n v="19"/>
    <n v="20"/>
    <n v="12"/>
    <n v="4"/>
    <n v="131"/>
    <n v="8"/>
    <n v="18"/>
    <n v="39"/>
    <n v="66"/>
    <n v="463"/>
    <n v="23"/>
    <n v="30"/>
    <n v="733"/>
    <n v="179"/>
    <n v="1745"/>
  </r>
  <r>
    <x v="4"/>
    <x v="4"/>
    <x v="4"/>
    <n v="11"/>
    <n v="15"/>
    <n v="5"/>
    <n v="0"/>
    <n v="110"/>
    <n v="4"/>
    <n v="8"/>
    <n v="33"/>
    <n v="50"/>
    <n v="371"/>
    <n v="17"/>
    <n v="0"/>
    <n v="557"/>
    <n v="2"/>
    <n v="1185"/>
  </r>
  <r>
    <x v="5"/>
    <x v="5"/>
    <x v="5"/>
    <n v="14"/>
    <n v="37"/>
    <n v="22"/>
    <n v="4"/>
    <n v="139"/>
    <n v="10"/>
    <n v="8"/>
    <n v="25"/>
    <n v="89"/>
    <n v="819"/>
    <n v="11"/>
    <n v="5"/>
    <n v="183"/>
    <n v="8"/>
    <n v="1393"/>
  </r>
  <r>
    <x v="6"/>
    <x v="0"/>
    <x v="6"/>
    <n v="164"/>
    <n v="1237"/>
    <n v="558"/>
    <n v="0"/>
    <n v="5052"/>
    <n v="205"/>
    <n v="113"/>
    <n v="471"/>
    <n v="1565"/>
    <n v="20522"/>
    <n v="367"/>
    <n v="68"/>
    <n v="12430"/>
    <n v="520"/>
    <n v="43422"/>
  </r>
  <r>
    <x v="7"/>
    <x v="1"/>
    <x v="7"/>
    <n v="133"/>
    <n v="688"/>
    <n v="151"/>
    <n v="28"/>
    <n v="3886"/>
    <n v="98"/>
    <n v="163"/>
    <n v="406"/>
    <n v="906"/>
    <n v="13618"/>
    <n v="498"/>
    <n v="59"/>
    <n v="8012"/>
    <n v="224"/>
    <n v="28977"/>
  </r>
  <r>
    <x v="8"/>
    <x v="5"/>
    <x v="8"/>
    <n v="26"/>
    <n v="252"/>
    <n v="70"/>
    <n v="3"/>
    <n v="943"/>
    <n v="33"/>
    <n v="43"/>
    <n v="76"/>
    <n v="326"/>
    <n v="5445"/>
    <n v="54"/>
    <n v="11"/>
    <n v="3787"/>
    <n v="211"/>
    <n v="11306"/>
  </r>
  <r>
    <x v="9"/>
    <x v="2"/>
    <x v="9"/>
    <n v="112"/>
    <n v="439"/>
    <n v="151"/>
    <n v="2"/>
    <n v="3478"/>
    <n v="79"/>
    <n v="41"/>
    <n v="250"/>
    <n v="513"/>
    <n v="8972"/>
    <n v="330"/>
    <n v="119"/>
    <n v="1020"/>
    <n v="1217"/>
    <n v="16764"/>
  </r>
  <r>
    <x v="10"/>
    <x v="4"/>
    <x v="10"/>
    <n v="47"/>
    <n v="175"/>
    <n v="58"/>
    <n v="1"/>
    <n v="1497"/>
    <n v="53"/>
    <n v="20"/>
    <n v="156"/>
    <n v="266"/>
    <n v="6766"/>
    <n v="26"/>
    <n v="22"/>
    <n v="5797"/>
    <n v="27"/>
    <n v="14942"/>
  </r>
  <r>
    <x v="11"/>
    <x v="3"/>
    <x v="11"/>
    <n v="66"/>
    <n v="446"/>
    <n v="159"/>
    <n v="0"/>
    <n v="2339"/>
    <n v="70"/>
    <n v="40"/>
    <n v="72"/>
    <n v="441"/>
    <n v="9259"/>
    <n v="313"/>
    <n v="144"/>
    <n v="1988"/>
    <n v="2072"/>
    <n v="17446"/>
  </r>
  <r>
    <x v="12"/>
    <x v="6"/>
    <x v="12"/>
    <n v="50"/>
    <n v="328"/>
    <n v="44"/>
    <n v="0"/>
    <n v="2587"/>
    <n v="34"/>
    <n v="23"/>
    <n v="146"/>
    <n v="460"/>
    <n v="9898"/>
    <n v="53"/>
    <n v="10"/>
    <n v="496"/>
    <n v="1355"/>
    <n v="15501"/>
  </r>
  <r>
    <x v="13"/>
    <x v="7"/>
    <x v="4"/>
    <n v="10"/>
    <n v="24"/>
    <n v="2"/>
    <n v="0"/>
    <n v="5"/>
    <n v="8"/>
    <n v="1"/>
    <n v="1"/>
    <n v="71"/>
    <n v="138"/>
    <n v="4"/>
    <n v="9"/>
    <n v="395"/>
    <n v="118"/>
    <n v="7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45"/>
    <n v="205"/>
    <n v="239"/>
    <n v="226"/>
    <n v="26"/>
    <n v="1550"/>
    <n v="146"/>
    <n v="118"/>
    <n v="642"/>
    <n v="1711"/>
    <n v="5795"/>
    <n v="263"/>
    <n v="195"/>
    <n v="8365"/>
    <n v="201"/>
    <n v="19727"/>
    <n v="9024"/>
  </r>
  <r>
    <x v="1"/>
    <x v="1"/>
    <n v="5"/>
    <n v="61"/>
    <n v="105"/>
    <n v="67"/>
    <n v="25"/>
    <n v="357"/>
    <n v="51"/>
    <n v="30"/>
    <n v="128"/>
    <n v="262"/>
    <n v="1497"/>
    <n v="101"/>
    <n v="40"/>
    <n v="2090"/>
    <n v="43"/>
    <n v="4862"/>
    <n v="2274"/>
  </r>
  <r>
    <x v="2"/>
    <x v="2"/>
    <n v="9"/>
    <n v="15"/>
    <n v="30"/>
    <n v="19"/>
    <n v="0"/>
    <n v="146"/>
    <n v="7"/>
    <n v="3"/>
    <n v="49"/>
    <n v="95"/>
    <n v="574"/>
    <n v="21"/>
    <n v="13"/>
    <n v="659"/>
    <n v="2"/>
    <n v="1642"/>
    <n v="695"/>
  </r>
  <r>
    <x v="3"/>
    <x v="3"/>
    <n v="0"/>
    <n v="19"/>
    <n v="20"/>
    <n v="12"/>
    <n v="4"/>
    <n v="131"/>
    <n v="8"/>
    <n v="18"/>
    <n v="39"/>
    <n v="66"/>
    <n v="463"/>
    <n v="23"/>
    <n v="30"/>
    <n v="733"/>
    <n v="179"/>
    <n v="1745"/>
    <n v="965"/>
  </r>
  <r>
    <x v="4"/>
    <x v="4"/>
    <n v="2"/>
    <n v="11"/>
    <n v="15"/>
    <n v="5"/>
    <n v="0"/>
    <n v="110"/>
    <n v="4"/>
    <n v="8"/>
    <n v="33"/>
    <n v="50"/>
    <n v="371"/>
    <n v="17"/>
    <n v="0"/>
    <n v="557"/>
    <n v="2"/>
    <n v="1185"/>
    <n v="576"/>
  </r>
  <r>
    <x v="5"/>
    <x v="5"/>
    <n v="19"/>
    <n v="14"/>
    <n v="37"/>
    <n v="22"/>
    <n v="4"/>
    <n v="139"/>
    <n v="10"/>
    <n v="8"/>
    <n v="25"/>
    <n v="89"/>
    <n v="819"/>
    <n v="11"/>
    <n v="5"/>
    <n v="183"/>
    <n v="8"/>
    <n v="1393"/>
    <n v="207"/>
  </r>
  <r>
    <x v="6"/>
    <x v="0"/>
    <n v="150"/>
    <n v="164"/>
    <n v="1237"/>
    <n v="558"/>
    <n v="0"/>
    <n v="5052"/>
    <n v="205"/>
    <n v="113"/>
    <n v="471"/>
    <n v="1565"/>
    <n v="20522"/>
    <n v="367"/>
    <n v="68"/>
    <n v="12430"/>
    <n v="520"/>
    <n v="43422"/>
    <n v="13385"/>
  </r>
  <r>
    <x v="7"/>
    <x v="1"/>
    <n v="107"/>
    <n v="133"/>
    <n v="688"/>
    <n v="151"/>
    <n v="28"/>
    <n v="3886"/>
    <n v="98"/>
    <n v="163"/>
    <n v="406"/>
    <n v="906"/>
    <n v="13618"/>
    <n v="498"/>
    <n v="59"/>
    <n v="8012"/>
    <n v="224"/>
    <n v="28977"/>
    <n v="8793"/>
  </r>
  <r>
    <x v="8"/>
    <x v="5"/>
    <n v="26"/>
    <n v="26"/>
    <n v="252"/>
    <n v="70"/>
    <n v="3"/>
    <n v="943"/>
    <n v="33"/>
    <n v="43"/>
    <n v="76"/>
    <n v="326"/>
    <n v="5445"/>
    <n v="54"/>
    <n v="11"/>
    <n v="3787"/>
    <n v="211"/>
    <n v="11306"/>
    <n v="4063"/>
  </r>
  <r>
    <x v="9"/>
    <x v="2"/>
    <n v="41"/>
    <n v="112"/>
    <n v="439"/>
    <n v="151"/>
    <n v="2"/>
    <n v="3478"/>
    <n v="79"/>
    <n v="41"/>
    <n v="250"/>
    <n v="513"/>
    <n v="8972"/>
    <n v="330"/>
    <n v="119"/>
    <n v="1020"/>
    <n v="1217"/>
    <n v="16764"/>
    <n v="2686"/>
  </r>
  <r>
    <x v="10"/>
    <x v="4"/>
    <n v="31"/>
    <n v="47"/>
    <n v="175"/>
    <n v="58"/>
    <n v="1"/>
    <n v="1497"/>
    <n v="53"/>
    <n v="20"/>
    <n v="156"/>
    <n v="266"/>
    <n v="6766"/>
    <n v="26"/>
    <n v="22"/>
    <n v="5797"/>
    <n v="27"/>
    <n v="14942"/>
    <n v="5872"/>
  </r>
  <r>
    <x v="11"/>
    <x v="3"/>
    <n v="37"/>
    <n v="66"/>
    <n v="446"/>
    <n v="159"/>
    <n v="0"/>
    <n v="2339"/>
    <n v="70"/>
    <n v="40"/>
    <n v="72"/>
    <n v="441"/>
    <n v="9259"/>
    <n v="313"/>
    <n v="144"/>
    <n v="1988"/>
    <n v="2072"/>
    <n v="17446"/>
    <n v="4517"/>
  </r>
  <r>
    <x v="12"/>
    <x v="6"/>
    <n v="17"/>
    <n v="50"/>
    <n v="328"/>
    <n v="44"/>
    <n v="0"/>
    <n v="2587"/>
    <n v="34"/>
    <n v="23"/>
    <n v="146"/>
    <n v="460"/>
    <n v="9898"/>
    <n v="53"/>
    <n v="10"/>
    <n v="496"/>
    <n v="1355"/>
    <n v="15501"/>
    <n v="1914"/>
  </r>
  <r>
    <x v="13"/>
    <x v="7"/>
    <n v="2"/>
    <n v="10"/>
    <n v="24"/>
    <n v="2"/>
    <n v="0"/>
    <n v="5"/>
    <n v="8"/>
    <n v="1"/>
    <n v="1"/>
    <n v="71"/>
    <n v="138"/>
    <n v="4"/>
    <n v="9"/>
    <n v="395"/>
    <n v="118"/>
    <n v="788"/>
    <n v="52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x v="0"/>
    <s v="DHAKA"/>
    <x v="0"/>
    <n v="45"/>
  </r>
  <r>
    <x v="1"/>
    <s v="CHITTAGONG"/>
    <x v="0"/>
    <n v="5"/>
  </r>
  <r>
    <x v="2"/>
    <s v="KHULNA"/>
    <x v="0"/>
    <n v="9"/>
  </r>
  <r>
    <x v="3"/>
    <s v="RAJSHAHI"/>
    <x v="0"/>
    <n v="0"/>
  </r>
  <r>
    <x v="4"/>
    <s v="BARISHAL"/>
    <x v="0"/>
    <n v="2"/>
  </r>
  <r>
    <x v="5"/>
    <s v="SYLHET"/>
    <x v="0"/>
    <n v="19"/>
  </r>
  <r>
    <x v="6"/>
    <s v="DHAKA"/>
    <x v="0"/>
    <n v="150"/>
  </r>
  <r>
    <x v="7"/>
    <s v="CHITTAGONG"/>
    <x v="0"/>
    <n v="107"/>
  </r>
  <r>
    <x v="8"/>
    <s v="SYLHET"/>
    <x v="0"/>
    <n v="26"/>
  </r>
  <r>
    <x v="9"/>
    <s v="KHULNA"/>
    <x v="0"/>
    <n v="41"/>
  </r>
  <r>
    <x v="10"/>
    <s v="BARISHAL"/>
    <x v="0"/>
    <n v="31"/>
  </r>
  <r>
    <x v="11"/>
    <s v="RAJSHAHI"/>
    <x v="0"/>
    <n v="37"/>
  </r>
  <r>
    <x v="12"/>
    <s v="RANGPUR"/>
    <x v="0"/>
    <n v="17"/>
  </r>
  <r>
    <x v="13"/>
    <s v="RAILWAY"/>
    <x v="0"/>
    <n v="2"/>
  </r>
  <r>
    <x v="0"/>
    <s v="DHAKA"/>
    <x v="1"/>
    <n v="205"/>
  </r>
  <r>
    <x v="1"/>
    <s v="CHITTAGONG"/>
    <x v="1"/>
    <n v="61"/>
  </r>
  <r>
    <x v="2"/>
    <s v="KHULNA"/>
    <x v="1"/>
    <n v="15"/>
  </r>
  <r>
    <x v="3"/>
    <s v="RAJSHAHI"/>
    <x v="1"/>
    <n v="19"/>
  </r>
  <r>
    <x v="4"/>
    <s v="BARISHAL"/>
    <x v="1"/>
    <n v="11"/>
  </r>
  <r>
    <x v="5"/>
    <s v="SYLHET"/>
    <x v="1"/>
    <n v="14"/>
  </r>
  <r>
    <x v="6"/>
    <s v="DHAKA"/>
    <x v="1"/>
    <n v="164"/>
  </r>
  <r>
    <x v="7"/>
    <s v="CHITTAGONG"/>
    <x v="1"/>
    <n v="133"/>
  </r>
  <r>
    <x v="8"/>
    <s v="SYLHET"/>
    <x v="1"/>
    <n v="26"/>
  </r>
  <r>
    <x v="9"/>
    <s v="KHULNA"/>
    <x v="1"/>
    <n v="112"/>
  </r>
  <r>
    <x v="10"/>
    <s v="BARISHAL"/>
    <x v="1"/>
    <n v="47"/>
  </r>
  <r>
    <x v="11"/>
    <s v="RAJSHAHI"/>
    <x v="1"/>
    <n v="66"/>
  </r>
  <r>
    <x v="12"/>
    <s v="RANGPUR"/>
    <x v="1"/>
    <n v="50"/>
  </r>
  <r>
    <x v="13"/>
    <s v="RAILWAY"/>
    <x v="1"/>
    <n v="10"/>
  </r>
  <r>
    <x v="0"/>
    <s v="DHAKA"/>
    <x v="2"/>
    <n v="239"/>
  </r>
  <r>
    <x v="1"/>
    <s v="CHITTAGONG"/>
    <x v="2"/>
    <n v="105"/>
  </r>
  <r>
    <x v="2"/>
    <s v="KHULNA"/>
    <x v="2"/>
    <n v="30"/>
  </r>
  <r>
    <x v="3"/>
    <s v="RAJSHAHI"/>
    <x v="2"/>
    <n v="20"/>
  </r>
  <r>
    <x v="4"/>
    <s v="BARISHAL"/>
    <x v="2"/>
    <n v="15"/>
  </r>
  <r>
    <x v="5"/>
    <s v="SYLHET"/>
    <x v="2"/>
    <n v="37"/>
  </r>
  <r>
    <x v="6"/>
    <s v="DHAKA"/>
    <x v="2"/>
    <n v="1237"/>
  </r>
  <r>
    <x v="7"/>
    <s v="CHITTAGONG"/>
    <x v="2"/>
    <n v="688"/>
  </r>
  <r>
    <x v="8"/>
    <s v="SYLHET"/>
    <x v="2"/>
    <n v="252"/>
  </r>
  <r>
    <x v="9"/>
    <s v="KHULNA"/>
    <x v="2"/>
    <n v="439"/>
  </r>
  <r>
    <x v="10"/>
    <s v="BARISHAL"/>
    <x v="2"/>
    <n v="175"/>
  </r>
  <r>
    <x v="11"/>
    <s v="RAJSHAHI"/>
    <x v="2"/>
    <n v="446"/>
  </r>
  <r>
    <x v="12"/>
    <s v="RANGPUR"/>
    <x v="2"/>
    <n v="328"/>
  </r>
  <r>
    <x v="13"/>
    <s v="RAILWAY"/>
    <x v="2"/>
    <n v="24"/>
  </r>
  <r>
    <x v="0"/>
    <s v="DHAKA"/>
    <x v="3"/>
    <n v="226"/>
  </r>
  <r>
    <x v="1"/>
    <s v="CHITTAGONG"/>
    <x v="3"/>
    <n v="67"/>
  </r>
  <r>
    <x v="2"/>
    <s v="KHULNA"/>
    <x v="3"/>
    <n v="19"/>
  </r>
  <r>
    <x v="3"/>
    <s v="RAJSHAHI"/>
    <x v="3"/>
    <n v="12"/>
  </r>
  <r>
    <x v="4"/>
    <s v="BARISHAL"/>
    <x v="3"/>
    <n v="5"/>
  </r>
  <r>
    <x v="5"/>
    <s v="SYLHET"/>
    <x v="3"/>
    <n v="22"/>
  </r>
  <r>
    <x v="6"/>
    <s v="DHAKA"/>
    <x v="3"/>
    <n v="558"/>
  </r>
  <r>
    <x v="7"/>
    <s v="CHITTAGONG"/>
    <x v="3"/>
    <n v="151"/>
  </r>
  <r>
    <x v="8"/>
    <s v="SYLHET"/>
    <x v="3"/>
    <n v="70"/>
  </r>
  <r>
    <x v="9"/>
    <s v="KHULNA"/>
    <x v="3"/>
    <n v="151"/>
  </r>
  <r>
    <x v="10"/>
    <s v="BARISHAL"/>
    <x v="3"/>
    <n v="58"/>
  </r>
  <r>
    <x v="11"/>
    <s v="RAJSHAHI"/>
    <x v="3"/>
    <n v="159"/>
  </r>
  <r>
    <x v="12"/>
    <s v="RANGPUR"/>
    <x v="3"/>
    <n v="44"/>
  </r>
  <r>
    <x v="13"/>
    <s v="RAILWAY"/>
    <x v="3"/>
    <n v="2"/>
  </r>
  <r>
    <x v="0"/>
    <s v="DHAKA"/>
    <x v="4"/>
    <n v="26"/>
  </r>
  <r>
    <x v="1"/>
    <s v="CHITTAGONG"/>
    <x v="4"/>
    <n v="25"/>
  </r>
  <r>
    <x v="2"/>
    <s v="KHULNA"/>
    <x v="4"/>
    <n v="0"/>
  </r>
  <r>
    <x v="3"/>
    <s v="RAJSHAHI"/>
    <x v="4"/>
    <n v="4"/>
  </r>
  <r>
    <x v="4"/>
    <s v="BARISHAL"/>
    <x v="4"/>
    <n v="0"/>
  </r>
  <r>
    <x v="5"/>
    <s v="SYLHET"/>
    <x v="4"/>
    <n v="4"/>
  </r>
  <r>
    <x v="6"/>
    <s v="DHAKA"/>
    <x v="4"/>
    <n v="0"/>
  </r>
  <r>
    <x v="7"/>
    <s v="CHITTAGONG"/>
    <x v="4"/>
    <n v="28"/>
  </r>
  <r>
    <x v="8"/>
    <s v="SYLHET"/>
    <x v="4"/>
    <n v="3"/>
  </r>
  <r>
    <x v="9"/>
    <s v="KHULNA"/>
    <x v="4"/>
    <n v="2"/>
  </r>
  <r>
    <x v="10"/>
    <s v="BARISHAL"/>
    <x v="4"/>
    <n v="1"/>
  </r>
  <r>
    <x v="11"/>
    <s v="RAJSHAHI"/>
    <x v="4"/>
    <n v="0"/>
  </r>
  <r>
    <x v="12"/>
    <s v="RANGPUR"/>
    <x v="4"/>
    <n v="0"/>
  </r>
  <r>
    <x v="13"/>
    <s v="RAILWAY"/>
    <x v="4"/>
    <n v="0"/>
  </r>
  <r>
    <x v="0"/>
    <s v="DHAKA"/>
    <x v="5"/>
    <n v="1550"/>
  </r>
  <r>
    <x v="1"/>
    <s v="CHITTAGONG"/>
    <x v="5"/>
    <n v="357"/>
  </r>
  <r>
    <x v="2"/>
    <s v="KHULNA"/>
    <x v="5"/>
    <n v="146"/>
  </r>
  <r>
    <x v="3"/>
    <s v="RAJSHAHI"/>
    <x v="5"/>
    <n v="131"/>
  </r>
  <r>
    <x v="4"/>
    <s v="BARISHAL"/>
    <x v="5"/>
    <n v="110"/>
  </r>
  <r>
    <x v="5"/>
    <s v="SYLHET"/>
    <x v="5"/>
    <n v="139"/>
  </r>
  <r>
    <x v="6"/>
    <s v="DHAKA"/>
    <x v="5"/>
    <n v="5052"/>
  </r>
  <r>
    <x v="7"/>
    <s v="CHITTAGONG"/>
    <x v="5"/>
    <n v="3886"/>
  </r>
  <r>
    <x v="8"/>
    <s v="SYLHET"/>
    <x v="5"/>
    <n v="943"/>
  </r>
  <r>
    <x v="9"/>
    <s v="KHULNA"/>
    <x v="5"/>
    <n v="3478"/>
  </r>
  <r>
    <x v="10"/>
    <s v="BARISHAL"/>
    <x v="5"/>
    <n v="1497"/>
  </r>
  <r>
    <x v="11"/>
    <s v="RAJSHAHI"/>
    <x v="5"/>
    <n v="2339"/>
  </r>
  <r>
    <x v="12"/>
    <s v="RANGPUR"/>
    <x v="5"/>
    <n v="2587"/>
  </r>
  <r>
    <x v="13"/>
    <s v="RAILWAY"/>
    <x v="5"/>
    <n v="5"/>
  </r>
  <r>
    <x v="0"/>
    <s v="DHAKA"/>
    <x v="6"/>
    <n v="146"/>
  </r>
  <r>
    <x v="1"/>
    <s v="CHITTAGONG"/>
    <x v="6"/>
    <n v="51"/>
  </r>
  <r>
    <x v="2"/>
    <s v="KHULNA"/>
    <x v="6"/>
    <n v="7"/>
  </r>
  <r>
    <x v="3"/>
    <s v="RAJSHAHI"/>
    <x v="6"/>
    <n v="8"/>
  </r>
  <r>
    <x v="4"/>
    <s v="BARISHAL"/>
    <x v="6"/>
    <n v="4"/>
  </r>
  <r>
    <x v="5"/>
    <s v="SYLHET"/>
    <x v="6"/>
    <n v="10"/>
  </r>
  <r>
    <x v="6"/>
    <s v="DHAKA"/>
    <x v="6"/>
    <n v="205"/>
  </r>
  <r>
    <x v="7"/>
    <s v="CHITTAGONG"/>
    <x v="6"/>
    <n v="98"/>
  </r>
  <r>
    <x v="8"/>
    <s v="SYLHET"/>
    <x v="6"/>
    <n v="33"/>
  </r>
  <r>
    <x v="9"/>
    <s v="KHULNA"/>
    <x v="6"/>
    <n v="79"/>
  </r>
  <r>
    <x v="10"/>
    <s v="BARISHAL"/>
    <x v="6"/>
    <n v="53"/>
  </r>
  <r>
    <x v="11"/>
    <s v="RAJSHAHI"/>
    <x v="6"/>
    <n v="70"/>
  </r>
  <r>
    <x v="12"/>
    <s v="RANGPUR"/>
    <x v="6"/>
    <n v="34"/>
  </r>
  <r>
    <x v="13"/>
    <s v="RAILWAY"/>
    <x v="6"/>
    <n v="8"/>
  </r>
  <r>
    <x v="0"/>
    <s v="DHAKA"/>
    <x v="7"/>
    <n v="118"/>
  </r>
  <r>
    <x v="1"/>
    <s v="CHITTAGONG"/>
    <x v="7"/>
    <n v="30"/>
  </r>
  <r>
    <x v="2"/>
    <s v="KHULNA"/>
    <x v="7"/>
    <n v="3"/>
  </r>
  <r>
    <x v="3"/>
    <s v="RAJSHAHI"/>
    <x v="7"/>
    <n v="18"/>
  </r>
  <r>
    <x v="4"/>
    <s v="BARISHAL"/>
    <x v="7"/>
    <n v="8"/>
  </r>
  <r>
    <x v="5"/>
    <s v="SYLHET"/>
    <x v="7"/>
    <n v="8"/>
  </r>
  <r>
    <x v="6"/>
    <s v="DHAKA"/>
    <x v="7"/>
    <n v="113"/>
  </r>
  <r>
    <x v="7"/>
    <s v="CHITTAGONG"/>
    <x v="7"/>
    <n v="163"/>
  </r>
  <r>
    <x v="8"/>
    <s v="SYLHET"/>
    <x v="7"/>
    <n v="43"/>
  </r>
  <r>
    <x v="9"/>
    <s v="KHULNA"/>
    <x v="7"/>
    <n v="41"/>
  </r>
  <r>
    <x v="10"/>
    <s v="BARISHAL"/>
    <x v="7"/>
    <n v="20"/>
  </r>
  <r>
    <x v="11"/>
    <s v="RAJSHAHI"/>
    <x v="7"/>
    <n v="40"/>
  </r>
  <r>
    <x v="12"/>
    <s v="RANGPUR"/>
    <x v="7"/>
    <n v="23"/>
  </r>
  <r>
    <x v="13"/>
    <s v="RAILWAY"/>
    <x v="7"/>
    <n v="1"/>
  </r>
  <r>
    <x v="0"/>
    <s v="DHAKA"/>
    <x v="8"/>
    <n v="642"/>
  </r>
  <r>
    <x v="1"/>
    <s v="CHITTAGONG"/>
    <x v="8"/>
    <n v="128"/>
  </r>
  <r>
    <x v="2"/>
    <s v="KHULNA"/>
    <x v="8"/>
    <n v="49"/>
  </r>
  <r>
    <x v="3"/>
    <s v="RAJSHAHI"/>
    <x v="8"/>
    <n v="39"/>
  </r>
  <r>
    <x v="4"/>
    <s v="BARISHAL"/>
    <x v="8"/>
    <n v="33"/>
  </r>
  <r>
    <x v="5"/>
    <s v="SYLHET"/>
    <x v="8"/>
    <n v="25"/>
  </r>
  <r>
    <x v="6"/>
    <s v="DHAKA"/>
    <x v="8"/>
    <n v="471"/>
  </r>
  <r>
    <x v="7"/>
    <s v="CHITTAGONG"/>
    <x v="8"/>
    <n v="406"/>
  </r>
  <r>
    <x v="8"/>
    <s v="SYLHET"/>
    <x v="8"/>
    <n v="76"/>
  </r>
  <r>
    <x v="9"/>
    <s v="KHULNA"/>
    <x v="8"/>
    <n v="250"/>
  </r>
  <r>
    <x v="10"/>
    <s v="BARISHAL"/>
    <x v="8"/>
    <n v="156"/>
  </r>
  <r>
    <x v="11"/>
    <s v="RAJSHAHI"/>
    <x v="8"/>
    <n v="72"/>
  </r>
  <r>
    <x v="12"/>
    <s v="RANGPUR"/>
    <x v="8"/>
    <n v="146"/>
  </r>
  <r>
    <x v="13"/>
    <s v="RAILWAY"/>
    <x v="8"/>
    <n v="1"/>
  </r>
  <r>
    <x v="0"/>
    <s v="DHAKA"/>
    <x v="9"/>
    <n v="1711"/>
  </r>
  <r>
    <x v="1"/>
    <s v="CHITTAGONG"/>
    <x v="9"/>
    <n v="262"/>
  </r>
  <r>
    <x v="2"/>
    <s v="KHULNA"/>
    <x v="9"/>
    <n v="95"/>
  </r>
  <r>
    <x v="3"/>
    <s v="RAJSHAHI"/>
    <x v="9"/>
    <n v="66"/>
  </r>
  <r>
    <x v="4"/>
    <s v="BARISHAL"/>
    <x v="9"/>
    <n v="50"/>
  </r>
  <r>
    <x v="5"/>
    <s v="SYLHET"/>
    <x v="9"/>
    <n v="89"/>
  </r>
  <r>
    <x v="6"/>
    <s v="DHAKA"/>
    <x v="9"/>
    <n v="1565"/>
  </r>
  <r>
    <x v="7"/>
    <s v="CHITTAGONG"/>
    <x v="9"/>
    <n v="906"/>
  </r>
  <r>
    <x v="8"/>
    <s v="SYLHET"/>
    <x v="9"/>
    <n v="326"/>
  </r>
  <r>
    <x v="9"/>
    <s v="KHULNA"/>
    <x v="9"/>
    <n v="513"/>
  </r>
  <r>
    <x v="10"/>
    <s v="BARISHAL"/>
    <x v="9"/>
    <n v="266"/>
  </r>
  <r>
    <x v="11"/>
    <s v="RAJSHAHI"/>
    <x v="9"/>
    <n v="441"/>
  </r>
  <r>
    <x v="12"/>
    <s v="RANGPUR"/>
    <x v="9"/>
    <n v="460"/>
  </r>
  <r>
    <x v="13"/>
    <s v="RAILWAY"/>
    <x v="9"/>
    <n v="71"/>
  </r>
  <r>
    <x v="0"/>
    <s v="DHAKA"/>
    <x v="10"/>
    <n v="263"/>
  </r>
  <r>
    <x v="1"/>
    <s v="CHITTAGONG"/>
    <x v="10"/>
    <n v="101"/>
  </r>
  <r>
    <x v="2"/>
    <s v="KHULNA"/>
    <x v="10"/>
    <n v="21"/>
  </r>
  <r>
    <x v="3"/>
    <s v="RAJSHAHI"/>
    <x v="10"/>
    <n v="23"/>
  </r>
  <r>
    <x v="4"/>
    <s v="BARISHAL"/>
    <x v="10"/>
    <n v="17"/>
  </r>
  <r>
    <x v="5"/>
    <s v="SYLHET"/>
    <x v="10"/>
    <n v="11"/>
  </r>
  <r>
    <x v="6"/>
    <s v="DHAKA"/>
    <x v="10"/>
    <n v="367"/>
  </r>
  <r>
    <x v="7"/>
    <s v="CHITTAGONG"/>
    <x v="10"/>
    <n v="498"/>
  </r>
  <r>
    <x v="8"/>
    <s v="SYLHET"/>
    <x v="10"/>
    <n v="54"/>
  </r>
  <r>
    <x v="9"/>
    <s v="KHULNA"/>
    <x v="10"/>
    <n v="330"/>
  </r>
  <r>
    <x v="10"/>
    <s v="BARISHAL"/>
    <x v="10"/>
    <n v="26"/>
  </r>
  <r>
    <x v="11"/>
    <s v="RAJSHAHI"/>
    <x v="10"/>
    <n v="313"/>
  </r>
  <r>
    <x v="12"/>
    <s v="RANGPUR"/>
    <x v="10"/>
    <n v="53"/>
  </r>
  <r>
    <x v="13"/>
    <s v="RAILWAY"/>
    <x v="10"/>
    <n v="4"/>
  </r>
  <r>
    <x v="0"/>
    <s v="DHAKA"/>
    <x v="11"/>
    <n v="195"/>
  </r>
  <r>
    <x v="1"/>
    <s v="CHITTAGONG"/>
    <x v="11"/>
    <n v="40"/>
  </r>
  <r>
    <x v="2"/>
    <s v="KHULNA"/>
    <x v="11"/>
    <n v="13"/>
  </r>
  <r>
    <x v="3"/>
    <s v="RAJSHAHI"/>
    <x v="11"/>
    <n v="30"/>
  </r>
  <r>
    <x v="4"/>
    <s v="BARISHAL"/>
    <x v="11"/>
    <n v="0"/>
  </r>
  <r>
    <x v="5"/>
    <s v="SYLHET"/>
    <x v="11"/>
    <n v="5"/>
  </r>
  <r>
    <x v="6"/>
    <s v="DHAKA"/>
    <x v="11"/>
    <n v="68"/>
  </r>
  <r>
    <x v="7"/>
    <s v="CHITTAGONG"/>
    <x v="11"/>
    <n v="59"/>
  </r>
  <r>
    <x v="8"/>
    <s v="SYLHET"/>
    <x v="11"/>
    <n v="11"/>
  </r>
  <r>
    <x v="9"/>
    <s v="KHULNA"/>
    <x v="11"/>
    <n v="119"/>
  </r>
  <r>
    <x v="10"/>
    <s v="BARISHAL"/>
    <x v="11"/>
    <n v="22"/>
  </r>
  <r>
    <x v="11"/>
    <s v="RAJSHAHI"/>
    <x v="11"/>
    <n v="144"/>
  </r>
  <r>
    <x v="12"/>
    <s v="RANGPUR"/>
    <x v="11"/>
    <n v="10"/>
  </r>
  <r>
    <x v="13"/>
    <s v="RAILWAY"/>
    <x v="11"/>
    <n v="9"/>
  </r>
  <r>
    <x v="0"/>
    <s v="DHAKA"/>
    <x v="12"/>
    <n v="8365"/>
  </r>
  <r>
    <x v="1"/>
    <s v="CHITTAGONG"/>
    <x v="12"/>
    <n v="2090"/>
  </r>
  <r>
    <x v="2"/>
    <s v="KHULNA"/>
    <x v="12"/>
    <n v="659"/>
  </r>
  <r>
    <x v="3"/>
    <s v="RAJSHAHI"/>
    <x v="12"/>
    <n v="733"/>
  </r>
  <r>
    <x v="4"/>
    <s v="BARISHAL"/>
    <x v="12"/>
    <n v="557"/>
  </r>
  <r>
    <x v="5"/>
    <s v="SYLHET"/>
    <x v="12"/>
    <n v="183"/>
  </r>
  <r>
    <x v="6"/>
    <s v="DHAKA"/>
    <x v="12"/>
    <n v="12430"/>
  </r>
  <r>
    <x v="7"/>
    <s v="CHITTAGONG"/>
    <x v="12"/>
    <n v="8012"/>
  </r>
  <r>
    <x v="8"/>
    <s v="SYLHET"/>
    <x v="12"/>
    <n v="3787"/>
  </r>
  <r>
    <x v="9"/>
    <s v="KHULNA"/>
    <x v="12"/>
    <n v="1020"/>
  </r>
  <r>
    <x v="10"/>
    <s v="BARISHAL"/>
    <x v="12"/>
    <n v="5797"/>
  </r>
  <r>
    <x v="11"/>
    <s v="RAJSHAHI"/>
    <x v="12"/>
    <n v="1988"/>
  </r>
  <r>
    <x v="12"/>
    <s v="RANGPUR"/>
    <x v="12"/>
    <n v="496"/>
  </r>
  <r>
    <x v="13"/>
    <s v="RAILWAY"/>
    <x v="12"/>
    <n v="395"/>
  </r>
  <r>
    <x v="0"/>
    <s v="DHAKA"/>
    <x v="13"/>
    <n v="201"/>
  </r>
  <r>
    <x v="1"/>
    <s v="CHITTAGONG"/>
    <x v="13"/>
    <n v="43"/>
  </r>
  <r>
    <x v="2"/>
    <s v="KHULNA"/>
    <x v="13"/>
    <n v="2"/>
  </r>
  <r>
    <x v="3"/>
    <s v="RAJSHAHI"/>
    <x v="13"/>
    <n v="179"/>
  </r>
  <r>
    <x v="4"/>
    <s v="BARISHAL"/>
    <x v="13"/>
    <n v="2"/>
  </r>
  <r>
    <x v="5"/>
    <s v="SYLHET"/>
    <x v="13"/>
    <n v="8"/>
  </r>
  <r>
    <x v="6"/>
    <s v="DHAKA"/>
    <x v="13"/>
    <n v="520"/>
  </r>
  <r>
    <x v="7"/>
    <s v="CHITTAGONG"/>
    <x v="13"/>
    <n v="224"/>
  </r>
  <r>
    <x v="8"/>
    <s v="SYLHET"/>
    <x v="13"/>
    <n v="211"/>
  </r>
  <r>
    <x v="9"/>
    <s v="KHULNA"/>
    <x v="13"/>
    <n v="1217"/>
  </r>
  <r>
    <x v="10"/>
    <s v="BARISHAL"/>
    <x v="13"/>
    <n v="27"/>
  </r>
  <r>
    <x v="11"/>
    <s v="RAJSHAHI"/>
    <x v="13"/>
    <n v="2072"/>
  </r>
  <r>
    <x v="12"/>
    <s v="RANGPUR"/>
    <x v="13"/>
    <n v="1355"/>
  </r>
  <r>
    <x v="13"/>
    <s v="RAILWAY"/>
    <x v="13"/>
    <n v="1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DMP"/>
    <x v="0"/>
    <x v="0"/>
    <n v="2"/>
    <n v="45"/>
  </r>
  <r>
    <s v="CMP"/>
    <x v="1"/>
    <x v="0"/>
    <n v="2"/>
    <n v="5"/>
  </r>
  <r>
    <s v="KMP"/>
    <x v="2"/>
    <x v="0"/>
    <n v="2"/>
    <n v="9"/>
  </r>
  <r>
    <s v="RMP"/>
    <x v="3"/>
    <x v="0"/>
    <n v="2"/>
    <n v="0"/>
  </r>
  <r>
    <s v="BMP"/>
    <x v="4"/>
    <x v="0"/>
    <n v="2"/>
    <n v="2"/>
  </r>
  <r>
    <s v="SMP"/>
    <x v="5"/>
    <x v="0"/>
    <n v="2"/>
    <n v="19"/>
  </r>
  <r>
    <s v="Dhaka Range"/>
    <x v="0"/>
    <x v="0"/>
    <n v="2"/>
    <n v="150"/>
  </r>
  <r>
    <s v="Chittagong Range"/>
    <x v="1"/>
    <x v="0"/>
    <n v="2"/>
    <n v="107"/>
  </r>
  <r>
    <s v="Sylhet Range"/>
    <x v="5"/>
    <x v="0"/>
    <n v="2"/>
    <n v="26"/>
  </r>
  <r>
    <s v="Khulna Range"/>
    <x v="2"/>
    <x v="0"/>
    <n v="2"/>
    <n v="41"/>
  </r>
  <r>
    <s v="Barisal Range"/>
    <x v="4"/>
    <x v="0"/>
    <n v="2"/>
    <n v="31"/>
  </r>
  <r>
    <s v="Rajshahi Range"/>
    <x v="3"/>
    <x v="0"/>
    <n v="2"/>
    <n v="37"/>
  </r>
  <r>
    <s v="Rangpur Range"/>
    <x v="6"/>
    <x v="0"/>
    <n v="2"/>
    <n v="17"/>
  </r>
  <r>
    <s v="Railway Range"/>
    <x v="7"/>
    <x v="0"/>
    <n v="2"/>
    <n v="2"/>
  </r>
  <r>
    <s v="DMP"/>
    <x v="0"/>
    <x v="1"/>
    <n v="1"/>
    <n v="239"/>
  </r>
  <r>
    <s v="CMP"/>
    <x v="1"/>
    <x v="1"/>
    <n v="1"/>
    <n v="105"/>
  </r>
  <r>
    <s v="KMP"/>
    <x v="2"/>
    <x v="1"/>
    <n v="1"/>
    <n v="30"/>
  </r>
  <r>
    <s v="RMP"/>
    <x v="3"/>
    <x v="1"/>
    <n v="1"/>
    <n v="20"/>
  </r>
  <r>
    <s v="BMP"/>
    <x v="4"/>
    <x v="1"/>
    <n v="1"/>
    <n v="15"/>
  </r>
  <r>
    <s v="SMP"/>
    <x v="5"/>
    <x v="1"/>
    <n v="1"/>
    <n v="37"/>
  </r>
  <r>
    <s v="Dhaka Range"/>
    <x v="0"/>
    <x v="1"/>
    <n v="1"/>
    <n v="1237"/>
  </r>
  <r>
    <s v="Chittagong Range"/>
    <x v="1"/>
    <x v="1"/>
    <n v="1"/>
    <n v="688"/>
  </r>
  <r>
    <s v="Sylhet Range"/>
    <x v="5"/>
    <x v="1"/>
    <n v="1"/>
    <n v="252"/>
  </r>
  <r>
    <s v="Khulna Range"/>
    <x v="2"/>
    <x v="1"/>
    <n v="1"/>
    <n v="439"/>
  </r>
  <r>
    <s v="Barisal Range"/>
    <x v="4"/>
    <x v="1"/>
    <n v="1"/>
    <n v="175"/>
  </r>
  <r>
    <s v="Rajshahi Range"/>
    <x v="3"/>
    <x v="1"/>
    <n v="1"/>
    <n v="446"/>
  </r>
  <r>
    <s v="Rangpur Range"/>
    <x v="6"/>
    <x v="1"/>
    <n v="1"/>
    <n v="328"/>
  </r>
  <r>
    <s v="Railway Range"/>
    <x v="7"/>
    <x v="1"/>
    <n v="1"/>
    <n v="24"/>
  </r>
  <r>
    <s v="DMP"/>
    <x v="0"/>
    <x v="2"/>
    <n v="3"/>
    <n v="1550"/>
  </r>
  <r>
    <s v="CMP"/>
    <x v="1"/>
    <x v="2"/>
    <n v="3"/>
    <n v="357"/>
  </r>
  <r>
    <s v="KMP"/>
    <x v="2"/>
    <x v="2"/>
    <n v="3"/>
    <n v="146"/>
  </r>
  <r>
    <s v="RMP"/>
    <x v="3"/>
    <x v="2"/>
    <n v="3"/>
    <n v="131"/>
  </r>
  <r>
    <s v="BMP"/>
    <x v="4"/>
    <x v="2"/>
    <n v="3"/>
    <n v="110"/>
  </r>
  <r>
    <s v="SMP"/>
    <x v="5"/>
    <x v="2"/>
    <n v="3"/>
    <n v="139"/>
  </r>
  <r>
    <s v="Dhaka Range"/>
    <x v="0"/>
    <x v="2"/>
    <n v="3"/>
    <n v="5052"/>
  </r>
  <r>
    <s v="Chittagong Range"/>
    <x v="1"/>
    <x v="2"/>
    <n v="3"/>
    <n v="3886"/>
  </r>
  <r>
    <s v="Sylhet Range"/>
    <x v="5"/>
    <x v="2"/>
    <n v="3"/>
    <n v="943"/>
  </r>
  <r>
    <s v="Khulna Range"/>
    <x v="2"/>
    <x v="2"/>
    <n v="3"/>
    <n v="3478"/>
  </r>
  <r>
    <s v="Barisal Range"/>
    <x v="4"/>
    <x v="2"/>
    <n v="3"/>
    <n v="1497"/>
  </r>
  <r>
    <s v="Rajshahi Range"/>
    <x v="3"/>
    <x v="2"/>
    <n v="3"/>
    <n v="2339"/>
  </r>
  <r>
    <s v="Rangpur Range"/>
    <x v="6"/>
    <x v="2"/>
    <n v="3"/>
    <n v="2587"/>
  </r>
  <r>
    <s v="Railway Range"/>
    <x v="7"/>
    <x v="2"/>
    <n v="3"/>
    <n v="5"/>
  </r>
  <r>
    <s v="DMP"/>
    <x v="0"/>
    <x v="3"/>
    <n v="4"/>
    <n v="146"/>
  </r>
  <r>
    <s v="CMP"/>
    <x v="1"/>
    <x v="3"/>
    <n v="4"/>
    <n v="51"/>
  </r>
  <r>
    <s v="KMP"/>
    <x v="2"/>
    <x v="3"/>
    <n v="4"/>
    <n v="7"/>
  </r>
  <r>
    <s v="RMP"/>
    <x v="3"/>
    <x v="3"/>
    <n v="4"/>
    <n v="8"/>
  </r>
  <r>
    <s v="BMP"/>
    <x v="4"/>
    <x v="3"/>
    <n v="4"/>
    <n v="4"/>
  </r>
  <r>
    <s v="SMP"/>
    <x v="5"/>
    <x v="3"/>
    <n v="4"/>
    <n v="10"/>
  </r>
  <r>
    <s v="Dhaka Range"/>
    <x v="0"/>
    <x v="3"/>
    <n v="4"/>
    <n v="205"/>
  </r>
  <r>
    <s v="Chittagong Range"/>
    <x v="1"/>
    <x v="3"/>
    <n v="4"/>
    <n v="98"/>
  </r>
  <r>
    <s v="Sylhet Range"/>
    <x v="5"/>
    <x v="3"/>
    <n v="4"/>
    <n v="33"/>
  </r>
  <r>
    <s v="Khulna Range"/>
    <x v="2"/>
    <x v="3"/>
    <n v="4"/>
    <n v="79"/>
  </r>
  <r>
    <s v="Barisal Range"/>
    <x v="4"/>
    <x v="3"/>
    <n v="4"/>
    <n v="53"/>
  </r>
  <r>
    <s v="Rajshahi Range"/>
    <x v="3"/>
    <x v="3"/>
    <n v="4"/>
    <n v="70"/>
  </r>
  <r>
    <s v="Rangpur Range"/>
    <x v="6"/>
    <x v="3"/>
    <n v="4"/>
    <n v="34"/>
  </r>
  <r>
    <s v="Railway Range"/>
    <x v="7"/>
    <x v="3"/>
    <n v="4"/>
    <n v="8"/>
  </r>
  <r>
    <s v="DMP"/>
    <x v="0"/>
    <x v="4"/>
    <n v="5"/>
    <n v="263"/>
  </r>
  <r>
    <s v="CMP"/>
    <x v="1"/>
    <x v="4"/>
    <n v="5"/>
    <n v="101"/>
  </r>
  <r>
    <s v="KMP"/>
    <x v="2"/>
    <x v="4"/>
    <n v="5"/>
    <n v="21"/>
  </r>
  <r>
    <s v="RMP"/>
    <x v="3"/>
    <x v="4"/>
    <n v="5"/>
    <n v="23"/>
  </r>
  <r>
    <s v="BMP"/>
    <x v="4"/>
    <x v="4"/>
    <n v="5"/>
    <n v="17"/>
  </r>
  <r>
    <s v="SMP"/>
    <x v="5"/>
    <x v="4"/>
    <n v="5"/>
    <n v="11"/>
  </r>
  <r>
    <s v="Dhaka Range"/>
    <x v="0"/>
    <x v="4"/>
    <n v="5"/>
    <n v="367"/>
  </r>
  <r>
    <s v="Chittagong Range"/>
    <x v="1"/>
    <x v="4"/>
    <n v="5"/>
    <n v="498"/>
  </r>
  <r>
    <s v="Sylhet Range"/>
    <x v="5"/>
    <x v="4"/>
    <n v="5"/>
    <n v="54"/>
  </r>
  <r>
    <s v="Khulna Range"/>
    <x v="2"/>
    <x v="4"/>
    <n v="5"/>
    <n v="330"/>
  </r>
  <r>
    <s v="Barisal Range"/>
    <x v="4"/>
    <x v="4"/>
    <n v="5"/>
    <n v="26"/>
  </r>
  <r>
    <s v="Rajshahi Range"/>
    <x v="3"/>
    <x v="4"/>
    <n v="5"/>
    <n v="313"/>
  </r>
  <r>
    <s v="Rangpur Range"/>
    <x v="6"/>
    <x v="4"/>
    <n v="5"/>
    <n v="53"/>
  </r>
  <r>
    <s v="Railway Range"/>
    <x v="7"/>
    <x v="4"/>
    <n v="5"/>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ABCF8-2DFA-4F92-AAE1-41F03E3D5B2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M3:N7" firstHeaderRow="1" firstDataRow="1" firstDataCol="1"/>
  <pivotFields count="18">
    <pivotField axis="axisRow" showAll="0" measureFilter="1" sortType="ascending">
      <items count="15">
        <item x="10"/>
        <item x="4"/>
        <item x="7"/>
        <item x="1"/>
        <item x="6"/>
        <item x="0"/>
        <item x="9"/>
        <item x="2"/>
        <item x="13"/>
        <item x="11"/>
        <item x="12"/>
        <item x="3"/>
        <item x="5"/>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4">
    <i>
      <x v="1"/>
    </i>
    <i>
      <x v="8"/>
    </i>
    <i>
      <x v="12"/>
    </i>
    <i t="grand">
      <x/>
    </i>
  </rowItems>
  <colItems count="1">
    <i/>
  </colItems>
  <dataFields count="1">
    <dataField name="Sum of Total" fld="17" baseField="0" baseItem="0"/>
  </dataFields>
  <chartFormats count="13">
    <chartFormat chart="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5"/>
          </reference>
        </references>
      </pivotArea>
    </chartFormat>
    <chartFormat chart="18" format="2">
      <pivotArea type="data" outline="0" fieldPosition="0">
        <references count="2">
          <reference field="4294967294" count="1" selected="0">
            <x v="0"/>
          </reference>
          <reference field="0" count="1" selected="0">
            <x v="2"/>
          </reference>
        </references>
      </pivotArea>
    </chartFormat>
    <chartFormat chart="18" format="3">
      <pivotArea type="data" outline="0" fieldPosition="0">
        <references count="2">
          <reference field="4294967294" count="1" selected="0">
            <x v="0"/>
          </reference>
          <reference field="0" count="1" selected="0">
            <x v="4"/>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0" count="1" selected="0">
            <x v="12"/>
          </reference>
        </references>
      </pivotArea>
    </chartFormat>
    <chartFormat chart="23" format="2">
      <pivotArea type="data" outline="0" fieldPosition="0">
        <references count="2">
          <reference field="4294967294" count="1" selected="0">
            <x v="0"/>
          </reference>
          <reference field="0" count="1" selected="0">
            <x v="1"/>
          </reference>
        </references>
      </pivotArea>
    </chartFormat>
    <chartFormat chart="23" format="3">
      <pivotArea type="data" outline="0" fieldPosition="0">
        <references count="2">
          <reference field="4294967294" count="1" selected="0">
            <x v="0"/>
          </reference>
          <reference field="0" count="1" selected="0">
            <x v="8"/>
          </reference>
        </references>
      </pivotArea>
    </chartFormat>
    <chartFormat chart="35" format="8" series="1">
      <pivotArea type="data" outline="0" fieldPosition="0">
        <references count="1">
          <reference field="4294967294" count="1" selected="0">
            <x v="0"/>
          </reference>
        </references>
      </pivotArea>
    </chartFormat>
    <chartFormat chart="35" format="9">
      <pivotArea type="data" outline="0" fieldPosition="0">
        <references count="2">
          <reference field="4294967294" count="1" selected="0">
            <x v="0"/>
          </reference>
          <reference field="0" count="1" selected="0">
            <x v="1"/>
          </reference>
        </references>
      </pivotArea>
    </chartFormat>
    <chartFormat chart="35" format="10">
      <pivotArea type="data" outline="0" fieldPosition="0">
        <references count="2">
          <reference field="4294967294" count="1" selected="0">
            <x v="0"/>
          </reference>
          <reference field="0" count="1" selected="0">
            <x v="8"/>
          </reference>
        </references>
      </pivotArea>
    </chartFormat>
    <chartFormat chart="35" format="11">
      <pivotArea type="data" outline="0" fieldPosition="0">
        <references count="2">
          <reference field="4294967294" count="1" selected="0">
            <x v="0"/>
          </reference>
          <reference field="0" count="1" selected="0">
            <x v="12"/>
          </reference>
        </references>
      </pivotArea>
    </chartFormat>
  </chartFormats>
  <pivotTableStyleInfo showRowHeaders="1" showColHeaders="1" showRowStripes="0" showColStripes="0" showLastColumn="1"/>
  <filters count="1">
    <filter fld="0"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82008D-8C31-4377-A0EC-7F5D0B3C4E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3:H12" firstHeaderRow="1" firstDataRow="1" firstDataCol="1"/>
  <pivotFields count="18">
    <pivotField showAll="0" sortType="ascending">
      <items count="15">
        <item x="10"/>
        <item x="4"/>
        <item x="7"/>
        <item x="1"/>
        <item x="6"/>
        <item x="0"/>
        <item x="9"/>
        <item x="2"/>
        <item x="13"/>
        <item x="11"/>
        <item x="12"/>
        <item x="3"/>
        <item x="5"/>
        <item x="8"/>
        <item t="default"/>
      </items>
    </pivotField>
    <pivotField axis="axisRow" showAll="0">
      <items count="9">
        <item x="4"/>
        <item x="1"/>
        <item x="0"/>
        <item x="2"/>
        <item x="7"/>
        <item x="3"/>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 of Total" fld="17" baseField="0" baseItem="0"/>
  </dataFields>
  <chartFormats count="4">
    <chartFormat chart="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20AC0-34A6-482E-A387-5E66B8776BE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3:E12" firstHeaderRow="1" firstDataRow="1" firstDataCol="1"/>
  <pivotFields count="19">
    <pivotField showAll="0" sortType="ascending"/>
    <pivotField axis="axisRow" showAll="0">
      <items count="9">
        <item x="4"/>
        <item x="1"/>
        <item x="0"/>
        <item x="2"/>
        <item x="7"/>
        <item x="3"/>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9">
    <i>
      <x/>
    </i>
    <i>
      <x v="1"/>
    </i>
    <i>
      <x v="2"/>
    </i>
    <i>
      <x v="3"/>
    </i>
    <i>
      <x v="4"/>
    </i>
    <i>
      <x v="5"/>
    </i>
    <i>
      <x v="6"/>
    </i>
    <i>
      <x v="7"/>
    </i>
    <i t="grand">
      <x/>
    </i>
  </rowItems>
  <colItems count="1">
    <i/>
  </colItems>
  <dataFields count="1">
    <dataField name="Sum of Total Crime" fld="17" showDataAs="percentOfTotal" baseField="0" baseItem="0" numFmtId="10"/>
  </dataFields>
  <chartFormats count="18">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8" format="4">
      <pivotArea type="data" outline="0" fieldPosition="0">
        <references count="2">
          <reference field="4294967294" count="1" selected="0">
            <x v="0"/>
          </reference>
          <reference field="1" count="1" selected="0">
            <x v="2"/>
          </reference>
        </references>
      </pivotArea>
    </chartFormat>
    <chartFormat chart="18" format="5">
      <pivotArea type="data" outline="0" fieldPosition="0">
        <references count="2">
          <reference field="4294967294" count="1" selected="0">
            <x v="0"/>
          </reference>
          <reference field="1" count="1" selected="0">
            <x v="3"/>
          </reference>
        </references>
      </pivotArea>
    </chartFormat>
    <chartFormat chart="18" format="6">
      <pivotArea type="data" outline="0" fieldPosition="0">
        <references count="2">
          <reference field="4294967294" count="1" selected="0">
            <x v="0"/>
          </reference>
          <reference field="1" count="1" selected="0">
            <x v="4"/>
          </reference>
        </references>
      </pivotArea>
    </chartFormat>
    <chartFormat chart="18" format="7">
      <pivotArea type="data" outline="0" fieldPosition="0">
        <references count="2">
          <reference field="4294967294" count="1" selected="0">
            <x v="0"/>
          </reference>
          <reference field="1" count="1" selected="0">
            <x v="5"/>
          </reference>
        </references>
      </pivotArea>
    </chartFormat>
    <chartFormat chart="18" format="8">
      <pivotArea type="data" outline="0" fieldPosition="0">
        <references count="2">
          <reference field="4294967294" count="1" selected="0">
            <x v="0"/>
          </reference>
          <reference field="1" count="1" selected="0">
            <x v="6"/>
          </reference>
        </references>
      </pivotArea>
    </chartFormat>
    <chartFormat chart="18" format="9">
      <pivotArea type="data" outline="0" fieldPosition="0">
        <references count="2">
          <reference field="4294967294" count="1" selected="0">
            <x v="0"/>
          </reference>
          <reference field="1" count="1" selected="0">
            <x v="7"/>
          </reference>
        </references>
      </pivotArea>
    </chartFormat>
    <chartFormat chart="26" format="19" series="1">
      <pivotArea type="data" outline="0" fieldPosition="0">
        <references count="1">
          <reference field="4294967294" count="1" selected="0">
            <x v="0"/>
          </reference>
        </references>
      </pivotArea>
    </chartFormat>
    <chartFormat chart="26" format="20">
      <pivotArea type="data" outline="0" fieldPosition="0">
        <references count="2">
          <reference field="4294967294" count="1" selected="0">
            <x v="0"/>
          </reference>
          <reference field="1" count="1" selected="0">
            <x v="0"/>
          </reference>
        </references>
      </pivotArea>
    </chartFormat>
    <chartFormat chart="26" format="21">
      <pivotArea type="data" outline="0" fieldPosition="0">
        <references count="2">
          <reference field="4294967294" count="1" selected="0">
            <x v="0"/>
          </reference>
          <reference field="1" count="1" selected="0">
            <x v="1"/>
          </reference>
        </references>
      </pivotArea>
    </chartFormat>
    <chartFormat chart="26" format="22">
      <pivotArea type="data" outline="0" fieldPosition="0">
        <references count="2">
          <reference field="4294967294" count="1" selected="0">
            <x v="0"/>
          </reference>
          <reference field="1" count="1" selected="0">
            <x v="2"/>
          </reference>
        </references>
      </pivotArea>
    </chartFormat>
    <chartFormat chart="26" format="23">
      <pivotArea type="data" outline="0" fieldPosition="0">
        <references count="2">
          <reference field="4294967294" count="1" selected="0">
            <x v="0"/>
          </reference>
          <reference field="1" count="1" selected="0">
            <x v="3"/>
          </reference>
        </references>
      </pivotArea>
    </chartFormat>
    <chartFormat chart="26" format="24">
      <pivotArea type="data" outline="0" fieldPosition="0">
        <references count="2">
          <reference field="4294967294" count="1" selected="0">
            <x v="0"/>
          </reference>
          <reference field="1" count="1" selected="0">
            <x v="4"/>
          </reference>
        </references>
      </pivotArea>
    </chartFormat>
    <chartFormat chart="26" format="25">
      <pivotArea type="data" outline="0" fieldPosition="0">
        <references count="2">
          <reference field="4294967294" count="1" selected="0">
            <x v="0"/>
          </reference>
          <reference field="1" count="1" selected="0">
            <x v="5"/>
          </reference>
        </references>
      </pivotArea>
    </chartFormat>
    <chartFormat chart="26" format="26">
      <pivotArea type="data" outline="0" fieldPosition="0">
        <references count="2">
          <reference field="4294967294" count="1" selected="0">
            <x v="0"/>
          </reference>
          <reference field="1" count="1" selected="0">
            <x v="6"/>
          </reference>
        </references>
      </pivotArea>
    </chartFormat>
    <chartFormat chart="26" format="27">
      <pivotArea type="data" outline="0" fieldPosition="0">
        <references count="2">
          <reference field="4294967294" count="1" selected="0">
            <x v="0"/>
          </reference>
          <reference field="1"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F85502-BAE8-4A2D-82CE-6956BE02463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3:Y12" firstHeaderRow="0" firstDataRow="1" firstDataCol="1"/>
  <pivotFields count="19">
    <pivotField showAll="0">
      <items count="15">
        <item x="10"/>
        <item x="4"/>
        <item x="7"/>
        <item x="1"/>
        <item x="6"/>
        <item x="0"/>
        <item x="9"/>
        <item x="2"/>
        <item x="13"/>
        <item x="11"/>
        <item x="12"/>
        <item x="3"/>
        <item x="5"/>
        <item x="8"/>
        <item t="default"/>
      </items>
    </pivotField>
    <pivotField axis="axisRow" showAll="0">
      <items count="9">
        <item x="4"/>
        <item x="1"/>
        <item x="0"/>
        <item x="2"/>
        <item x="7"/>
        <item x="3"/>
        <item x="6"/>
        <item x="5"/>
        <item t="default"/>
      </items>
    </pivotField>
    <pivotField dataField="1" showAll="0"/>
    <pivotField showAll="0"/>
    <pivotField dataField="1" showAll="0"/>
    <pivotField showAll="0"/>
    <pivotField showAll="0"/>
    <pivotField dataField="1" showAll="0"/>
    <pivotField dataField="1"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5">
    <i>
      <x/>
    </i>
    <i i="1">
      <x v="1"/>
    </i>
    <i i="2">
      <x v="2"/>
    </i>
    <i i="3">
      <x v="3"/>
    </i>
    <i i="4">
      <x v="4"/>
    </i>
  </colItems>
  <dataFields count="5">
    <dataField name="Sum of Murder" fld="4" baseField="0" baseItem="0"/>
    <dataField name="Sum of Dacoity" fld="2" baseField="0" baseItem="0"/>
    <dataField name="Sum of Woman &amp; Child Repression" fld="7" baseField="0" baseItem="0"/>
    <dataField name="Sum of Kidnapping" fld="8" baseField="0" baseItem="0"/>
    <dataField name="Sum of Arms Act" fld="13"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936B48-F68E-407A-B8B9-25281F1E59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8" firstHeaderRow="1" firstDataRow="1" firstDataCol="1"/>
  <pivotFields count="18">
    <pivotField axis="axisRow" showAll="0" sortType="ascending">
      <items count="15">
        <item x="10"/>
        <item x="4"/>
        <item x="7"/>
        <item x="1"/>
        <item x="6"/>
        <item x="0"/>
        <item x="9"/>
        <item x="2"/>
        <item x="13"/>
        <item x="11"/>
        <item x="12"/>
        <item x="3"/>
        <item x="5"/>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Total" fld="17"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70C177-4D10-4DF5-B7D1-79AF88CC0F6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P3:R12" firstHeaderRow="0" firstDataRow="1" firstDataCol="1"/>
  <pivotFields count="19">
    <pivotField showAll="0" sortType="ascending"/>
    <pivotField axis="axisRow" showAll="0">
      <items count="9">
        <item x="4"/>
        <item x="1"/>
        <item x="0"/>
        <item x="2"/>
        <item x="7"/>
        <item x="3"/>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Total Crime" fld="17" baseField="0" baseItem="0"/>
    <dataField name="Sum of Total Recovery" fld="18" baseField="0" baseItem="0"/>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17DDB-8049-43FF-BD85-3647F900A7D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3:K7" firstHeaderRow="1" firstDataRow="1" firstDataCol="1"/>
  <pivotFields count="18">
    <pivotField axis="axisRow" showAll="0" measureFilter="1" sortType="ascending">
      <items count="15">
        <item x="10"/>
        <item x="4"/>
        <item x="7"/>
        <item x="1"/>
        <item x="6"/>
        <item x="0"/>
        <item x="9"/>
        <item x="2"/>
        <item x="13"/>
        <item x="11"/>
        <item x="12"/>
        <item x="3"/>
        <item x="5"/>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4">
    <i>
      <x v="2"/>
    </i>
    <i>
      <x v="4"/>
    </i>
    <i>
      <x v="5"/>
    </i>
    <i t="grand">
      <x/>
    </i>
  </rowItems>
  <colItems count="1">
    <i/>
  </colItems>
  <dataFields count="1">
    <dataField name="Sum of Total" fld="17" baseField="0" baseItem="0"/>
  </dataFields>
  <chartFormats count="9">
    <chartFormat chart="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5"/>
          </reference>
        </references>
      </pivotArea>
    </chartFormat>
    <chartFormat chart="18" format="2">
      <pivotArea type="data" outline="0" fieldPosition="0">
        <references count="2">
          <reference field="4294967294" count="1" selected="0">
            <x v="0"/>
          </reference>
          <reference field="0" count="1" selected="0">
            <x v="2"/>
          </reference>
        </references>
      </pivotArea>
    </chartFormat>
    <chartFormat chart="18" format="3">
      <pivotArea type="data" outline="0" fieldPosition="0">
        <references count="2">
          <reference field="4294967294" count="1" selected="0">
            <x v="0"/>
          </reference>
          <reference field="0" count="1" selected="0">
            <x v="4"/>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0" count="1" selected="0">
            <x v="2"/>
          </reference>
        </references>
      </pivotArea>
    </chartFormat>
    <chartFormat chart="25" format="10">
      <pivotArea type="data" outline="0" fieldPosition="0">
        <references count="2">
          <reference field="4294967294" count="1" selected="0">
            <x v="0"/>
          </reference>
          <reference field="0" count="1" selected="0">
            <x v="4"/>
          </reference>
        </references>
      </pivotArea>
    </chartFormat>
    <chartFormat chart="25" format="11">
      <pivotArea type="data" outline="0" fieldPosition="0">
        <references count="2">
          <reference field="4294967294" count="1" selected="0">
            <x v="0"/>
          </reference>
          <reference field="0" count="1" selected="0">
            <x v="5"/>
          </reference>
        </references>
      </pivotArea>
    </chartFormat>
  </chartFormats>
  <pivotTableStyleInfo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48F5E0-9757-4987-BDC4-5882AFBAE2DF}" name="Top 5 Cri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rowPageCount="1" colPageCount="1"/>
  <pivotFields count="5">
    <pivotField showAll="0"/>
    <pivotField axis="axisRow" showAll="0">
      <items count="9">
        <item x="4"/>
        <item x="1"/>
        <item x="0"/>
        <item x="2"/>
        <item x="7"/>
        <item x="3"/>
        <item x="6"/>
        <item x="5"/>
        <item t="default"/>
      </items>
    </pivotField>
    <pivotField axis="axisPage" showAll="0">
      <items count="6">
        <item x="4"/>
        <item x="0"/>
        <item x="3"/>
        <item x="1"/>
        <item x="2"/>
        <item t="default"/>
      </items>
    </pivotField>
    <pivotField showAll="0"/>
    <pivotField dataField="1" showAll="0"/>
  </pivotFields>
  <rowFields count="1">
    <field x="1"/>
  </rowFields>
  <rowItems count="9">
    <i>
      <x/>
    </i>
    <i>
      <x v="1"/>
    </i>
    <i>
      <x v="2"/>
    </i>
    <i>
      <x v="3"/>
    </i>
    <i>
      <x v="4"/>
    </i>
    <i>
      <x v="5"/>
    </i>
    <i>
      <x v="6"/>
    </i>
    <i>
      <x v="7"/>
    </i>
    <i t="grand">
      <x/>
    </i>
  </rowItems>
  <colItems count="1">
    <i/>
  </colItems>
  <pageFields count="1">
    <pageField fld="2" item="0" hier="-1"/>
  </pageFields>
  <dataFields count="1">
    <dataField name="Sum of Cases"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DD8623-4531-4788-9CA7-4F85963A7EA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8" firstHeaderRow="1" firstDataRow="1" firstDataCol="1" rowPageCount="1" colPageCount="1"/>
  <pivotFields count="4">
    <pivotField axis="axisPage" multipleItemSelectionAllowed="1" showAll="0">
      <items count="15">
        <item h="1" x="10"/>
        <item x="4"/>
        <item h="1" x="7"/>
        <item h="1" x="1"/>
        <item h="1" x="6"/>
        <item h="1" x="0"/>
        <item h="1" x="9"/>
        <item h="1" x="2"/>
        <item h="1" x="13"/>
        <item h="1" x="11"/>
        <item h="1" x="12"/>
        <item h="1" x="3"/>
        <item h="1" x="5"/>
        <item h="1" x="8"/>
        <item t="default"/>
      </items>
    </pivotField>
    <pivotField showAll="0"/>
    <pivotField axis="axisRow" showAll="0">
      <items count="16">
        <item x="10"/>
        <item x="8"/>
        <item x="0"/>
        <item x="11"/>
        <item x="6"/>
        <item x="2"/>
        <item x="12"/>
        <item m="1" x="14"/>
        <item x="7"/>
        <item x="4"/>
        <item x="1"/>
        <item x="13"/>
        <item x="3"/>
        <item x="9"/>
        <item x="5"/>
        <item t="default"/>
      </items>
    </pivotField>
    <pivotField dataField="1" showAll="0"/>
  </pivotFields>
  <rowFields count="1">
    <field x="2"/>
  </rowFields>
  <rowItems count="15">
    <i>
      <x/>
    </i>
    <i>
      <x v="1"/>
    </i>
    <i>
      <x v="2"/>
    </i>
    <i>
      <x v="3"/>
    </i>
    <i>
      <x v="4"/>
    </i>
    <i>
      <x v="5"/>
    </i>
    <i>
      <x v="6"/>
    </i>
    <i>
      <x v="8"/>
    </i>
    <i>
      <x v="9"/>
    </i>
    <i>
      <x v="10"/>
    </i>
    <i>
      <x v="11"/>
    </i>
    <i>
      <x v="12"/>
    </i>
    <i>
      <x v="13"/>
    </i>
    <i>
      <x v="14"/>
    </i>
    <i t="grand">
      <x/>
    </i>
  </rowItems>
  <colItems count="1">
    <i/>
  </colItems>
  <pageFields count="1">
    <pageField fld="0" hier="-1"/>
  </pageFields>
  <dataFields count="1">
    <dataField name="Sum of Cases" fld="3" baseField="0" baseItem="0"/>
  </dataFields>
  <chartFormats count="3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6"/>
          </reference>
        </references>
      </pivotArea>
    </chartFormat>
    <chartFormat chart="3" format="8">
      <pivotArea type="data" outline="0" fieldPosition="0">
        <references count="2">
          <reference field="4294967294" count="1" selected="0">
            <x v="0"/>
          </reference>
          <reference field="2" count="1" selected="0">
            <x v="8"/>
          </reference>
        </references>
      </pivotArea>
    </chartFormat>
    <chartFormat chart="3" format="9">
      <pivotArea type="data" outline="0" fieldPosition="0">
        <references count="2">
          <reference field="4294967294" count="1" selected="0">
            <x v="0"/>
          </reference>
          <reference field="2" count="1" selected="0">
            <x v="9"/>
          </reference>
        </references>
      </pivotArea>
    </chartFormat>
    <chartFormat chart="3" format="10">
      <pivotArea type="data" outline="0" fieldPosition="0">
        <references count="2">
          <reference field="4294967294" count="1" selected="0">
            <x v="0"/>
          </reference>
          <reference field="2" count="1" selected="0">
            <x v="10"/>
          </reference>
        </references>
      </pivotArea>
    </chartFormat>
    <chartFormat chart="3" format="11">
      <pivotArea type="data" outline="0" fieldPosition="0">
        <references count="2">
          <reference field="4294967294" count="1" selected="0">
            <x v="0"/>
          </reference>
          <reference field="2" count="1" selected="0">
            <x v="11"/>
          </reference>
        </references>
      </pivotArea>
    </chartFormat>
    <chartFormat chart="3" format="12">
      <pivotArea type="data" outline="0" fieldPosition="0">
        <references count="2">
          <reference field="4294967294" count="1" selected="0">
            <x v="0"/>
          </reference>
          <reference field="2" count="1" selected="0">
            <x v="12"/>
          </reference>
        </references>
      </pivotArea>
    </chartFormat>
    <chartFormat chart="3" format="13">
      <pivotArea type="data" outline="0" fieldPosition="0">
        <references count="2">
          <reference field="4294967294" count="1" selected="0">
            <x v="0"/>
          </reference>
          <reference field="2" count="1" selected="0">
            <x v="13"/>
          </reference>
        </references>
      </pivotArea>
    </chartFormat>
    <chartFormat chart="3" format="14">
      <pivotArea type="data" outline="0" fieldPosition="0">
        <references count="2">
          <reference field="4294967294" count="1" selected="0">
            <x v="0"/>
          </reference>
          <reference field="2" count="1" selected="0">
            <x v="14"/>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2" count="1" selected="0">
            <x v="0"/>
          </reference>
        </references>
      </pivotArea>
    </chartFormat>
    <chartFormat chart="7" format="32">
      <pivotArea type="data" outline="0" fieldPosition="0">
        <references count="2">
          <reference field="4294967294" count="1" selected="0">
            <x v="0"/>
          </reference>
          <reference field="2" count="1" selected="0">
            <x v="1"/>
          </reference>
        </references>
      </pivotArea>
    </chartFormat>
    <chartFormat chart="7" format="33">
      <pivotArea type="data" outline="0" fieldPosition="0">
        <references count="2">
          <reference field="4294967294" count="1" selected="0">
            <x v="0"/>
          </reference>
          <reference field="2" count="1" selected="0">
            <x v="2"/>
          </reference>
        </references>
      </pivotArea>
    </chartFormat>
    <chartFormat chart="7" format="34">
      <pivotArea type="data" outline="0" fieldPosition="0">
        <references count="2">
          <reference field="4294967294" count="1" selected="0">
            <x v="0"/>
          </reference>
          <reference field="2" count="1" selected="0">
            <x v="3"/>
          </reference>
        </references>
      </pivotArea>
    </chartFormat>
    <chartFormat chart="7" format="35">
      <pivotArea type="data" outline="0" fieldPosition="0">
        <references count="2">
          <reference field="4294967294" count="1" selected="0">
            <x v="0"/>
          </reference>
          <reference field="2" count="1" selected="0">
            <x v="4"/>
          </reference>
        </references>
      </pivotArea>
    </chartFormat>
    <chartFormat chart="7" format="36">
      <pivotArea type="data" outline="0" fieldPosition="0">
        <references count="2">
          <reference field="4294967294" count="1" selected="0">
            <x v="0"/>
          </reference>
          <reference field="2" count="1" selected="0">
            <x v="5"/>
          </reference>
        </references>
      </pivotArea>
    </chartFormat>
    <chartFormat chart="7" format="37">
      <pivotArea type="data" outline="0" fieldPosition="0">
        <references count="2">
          <reference field="4294967294" count="1" selected="0">
            <x v="0"/>
          </reference>
          <reference field="2" count="1" selected="0">
            <x v="6"/>
          </reference>
        </references>
      </pivotArea>
    </chartFormat>
    <chartFormat chart="7" format="38">
      <pivotArea type="data" outline="0" fieldPosition="0">
        <references count="2">
          <reference field="4294967294" count="1" selected="0">
            <x v="0"/>
          </reference>
          <reference field="2" count="1" selected="0">
            <x v="8"/>
          </reference>
        </references>
      </pivotArea>
    </chartFormat>
    <chartFormat chart="7" format="39">
      <pivotArea type="data" outline="0" fieldPosition="0">
        <references count="2">
          <reference field="4294967294" count="1" selected="0">
            <x v="0"/>
          </reference>
          <reference field="2" count="1" selected="0">
            <x v="9"/>
          </reference>
        </references>
      </pivotArea>
    </chartFormat>
    <chartFormat chart="7" format="40">
      <pivotArea type="data" outline="0" fieldPosition="0">
        <references count="2">
          <reference field="4294967294" count="1" selected="0">
            <x v="0"/>
          </reference>
          <reference field="2" count="1" selected="0">
            <x v="10"/>
          </reference>
        </references>
      </pivotArea>
    </chartFormat>
    <chartFormat chart="7" format="41">
      <pivotArea type="data" outline="0" fieldPosition="0">
        <references count="2">
          <reference field="4294967294" count="1" selected="0">
            <x v="0"/>
          </reference>
          <reference field="2" count="1" selected="0">
            <x v="11"/>
          </reference>
        </references>
      </pivotArea>
    </chartFormat>
    <chartFormat chart="7" format="42">
      <pivotArea type="data" outline="0" fieldPosition="0">
        <references count="2">
          <reference field="4294967294" count="1" selected="0">
            <x v="0"/>
          </reference>
          <reference field="2" count="1" selected="0">
            <x v="12"/>
          </reference>
        </references>
      </pivotArea>
    </chartFormat>
    <chartFormat chart="7" format="43">
      <pivotArea type="data" outline="0" fieldPosition="0">
        <references count="2">
          <reference field="4294967294" count="1" selected="0">
            <x v="0"/>
          </reference>
          <reference field="2" count="1" selected="0">
            <x v="13"/>
          </reference>
        </references>
      </pivotArea>
    </chartFormat>
    <chartFormat chart="7" format="44">
      <pivotArea type="data" outline="0" fieldPosition="0">
        <references count="2">
          <reference field="4294967294" count="1" selected="0">
            <x v="0"/>
          </reference>
          <reference field="2" count="1" selected="0">
            <x v="14"/>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Name" xr10:uid="{C1688A91-E4DC-4B71-B71A-A31D66DBE625}" sourceName="Unit Name">
  <pivotTables>
    <pivotTable tabId="10" name="PivotTable3"/>
  </pivotTables>
  <data>
    <tabular pivotCacheId="961211646">
      <items count="14">
        <i x="10"/>
        <i x="4" s="1"/>
        <i x="7"/>
        <i x="1"/>
        <i x="6"/>
        <i x="0"/>
        <i x="9"/>
        <i x="2"/>
        <i x="13"/>
        <i x="11"/>
        <i x="12"/>
        <i x="3"/>
        <i x="5"/>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1" xr10:uid="{53B32267-4077-4E18-A4FE-12160B91AB1D}" sourceName="Crime Type">
  <pivotTables>
    <pivotTable tabId="14" name="Top 5 Crime"/>
  </pivotTables>
  <data>
    <tabular pivotCacheId="1641565764">
      <items count="5">
        <i x="4" s="1"/>
        <i x="0"/>
        <i x="3"/>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 Type" xr10:uid="{49DFEF22-0D0A-43A9-A17D-1B80350046C9}" cache="Slicer_Crime_Type1" caption="Crim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Name" xr10:uid="{5D1D2F2E-3DF0-4871-887C-3C9685238D54}" cache="Slicer_Unit_Name" caption="Unit 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L UNIT" xr10:uid="{6CB3B079-1990-495D-A963-FC95CB4B971A}" cache="Slicer_Unit_Name" caption="ALL UNIT" style="SlicerStyleDark1" rowHeight="365760"/>
  <slicer name="TOP 5 CRIME" xr10:uid="{61F6348E-BBAD-42F3-A6DC-862C17311887}" cache="Slicer_Crime_Type1" caption="TOP 5 CRIME" style="SlicerStyleDark1" rowHeight="36576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66C9-75FC-40B7-9FC3-ABC89F55B36C}">
  <dimension ref="A3:Y18"/>
  <sheetViews>
    <sheetView topLeftCell="F1" zoomScale="78" zoomScaleNormal="78" workbookViewId="0">
      <selection activeCell="U3" sqref="U3"/>
    </sheetView>
  </sheetViews>
  <sheetFormatPr defaultRowHeight="14.4" x14ac:dyDescent="0.3"/>
  <cols>
    <col min="1" max="1" width="15.33203125" bestFit="1" customWidth="1"/>
    <col min="2" max="2" width="11.33203125" bestFit="1" customWidth="1"/>
    <col min="4" max="4" width="12.77734375" bestFit="1" customWidth="1"/>
    <col min="5" max="5" width="16.6640625" bestFit="1" customWidth="1"/>
    <col min="7" max="7" width="12.77734375" bestFit="1" customWidth="1"/>
    <col min="8" max="8" width="11.33203125" bestFit="1" customWidth="1"/>
    <col min="10" max="10" width="12.77734375" bestFit="1" customWidth="1"/>
    <col min="11" max="11" width="11.33203125" bestFit="1" customWidth="1"/>
    <col min="16" max="16" width="12.77734375" bestFit="1" customWidth="1"/>
    <col min="17" max="17" width="16.6640625" bestFit="1" customWidth="1"/>
    <col min="18" max="18" width="19.5546875" bestFit="1" customWidth="1"/>
    <col min="19" max="19" width="5" bestFit="1" customWidth="1"/>
    <col min="20" max="20" width="12.77734375" bestFit="1" customWidth="1"/>
    <col min="21" max="21" width="13.21875" bestFit="1" customWidth="1"/>
    <col min="22" max="22" width="13.44140625" bestFit="1" customWidth="1"/>
    <col min="23" max="23" width="29.6640625" bestFit="1" customWidth="1"/>
    <col min="24" max="24" width="16" bestFit="1" customWidth="1"/>
    <col min="25" max="25" width="14.44140625" bestFit="1" customWidth="1"/>
    <col min="26" max="29" width="6" bestFit="1" customWidth="1"/>
    <col min="30" max="30" width="10.5546875" bestFit="1" customWidth="1"/>
  </cols>
  <sheetData>
    <row r="3" spans="1:25" x14ac:dyDescent="0.3">
      <c r="A3" s="2" t="s">
        <v>42</v>
      </c>
      <c r="B3" s="3" t="s">
        <v>44</v>
      </c>
      <c r="D3" s="2" t="s">
        <v>42</v>
      </c>
      <c r="E3" s="3" t="s">
        <v>48</v>
      </c>
      <c r="G3" s="2" t="s">
        <v>42</v>
      </c>
      <c r="H3" s="3" t="s">
        <v>44</v>
      </c>
      <c r="J3" s="2" t="s">
        <v>42</v>
      </c>
      <c r="K3" s="3" t="s">
        <v>44</v>
      </c>
      <c r="M3" s="2" t="s">
        <v>42</v>
      </c>
      <c r="N3" s="3" t="s">
        <v>44</v>
      </c>
      <c r="P3" s="2" t="s">
        <v>42</v>
      </c>
      <c r="Q3" s="12" t="s">
        <v>48</v>
      </c>
      <c r="R3" s="15" t="s">
        <v>47</v>
      </c>
      <c r="T3" s="2" t="s">
        <v>42</v>
      </c>
      <c r="U3" s="12" t="s">
        <v>71</v>
      </c>
      <c r="V3" s="38" t="s">
        <v>72</v>
      </c>
      <c r="W3" s="38" t="s">
        <v>73</v>
      </c>
      <c r="X3" s="38" t="s">
        <v>74</v>
      </c>
      <c r="Y3" s="15" t="s">
        <v>75</v>
      </c>
    </row>
    <row r="4" spans="1:25" x14ac:dyDescent="0.3">
      <c r="A4" s="4" t="s">
        <v>0</v>
      </c>
      <c r="B4" s="3">
        <v>14942</v>
      </c>
      <c r="D4" s="4" t="s">
        <v>37</v>
      </c>
      <c r="E4" s="9">
        <v>8.9744017807456875E-2</v>
      </c>
      <c r="G4" s="4" t="s">
        <v>37</v>
      </c>
      <c r="H4" s="3">
        <v>16127</v>
      </c>
      <c r="J4" s="4" t="s">
        <v>2</v>
      </c>
      <c r="K4" s="3">
        <v>28977</v>
      </c>
      <c r="M4" s="4" t="s">
        <v>1</v>
      </c>
      <c r="N4" s="3">
        <v>1185</v>
      </c>
      <c r="P4" s="4" t="s">
        <v>37</v>
      </c>
      <c r="Q4" s="12">
        <v>16127</v>
      </c>
      <c r="R4" s="15">
        <v>6448</v>
      </c>
      <c r="T4" s="4" t="s">
        <v>37</v>
      </c>
      <c r="U4" s="12">
        <v>190</v>
      </c>
      <c r="V4" s="38">
        <v>33</v>
      </c>
      <c r="W4" s="38">
        <v>1607</v>
      </c>
      <c r="X4" s="38">
        <v>57</v>
      </c>
      <c r="Y4" s="15">
        <v>43</v>
      </c>
    </row>
    <row r="5" spans="1:25" x14ac:dyDescent="0.3">
      <c r="A5" s="5" t="s">
        <v>1</v>
      </c>
      <c r="B5" s="6">
        <v>1185</v>
      </c>
      <c r="D5" s="5" t="s">
        <v>39</v>
      </c>
      <c r="E5" s="10">
        <v>0.1883082915971063</v>
      </c>
      <c r="G5" s="5" t="s">
        <v>39</v>
      </c>
      <c r="H5" s="6">
        <v>33839</v>
      </c>
      <c r="J5" s="5" t="s">
        <v>4</v>
      </c>
      <c r="K5" s="6">
        <v>43422</v>
      </c>
      <c r="M5" s="5" t="s">
        <v>8</v>
      </c>
      <c r="N5" s="6">
        <v>788</v>
      </c>
      <c r="P5" s="5" t="s">
        <v>39</v>
      </c>
      <c r="Q5" s="13">
        <v>33839</v>
      </c>
      <c r="R5" s="16">
        <v>11067</v>
      </c>
      <c r="T5" s="5" t="s">
        <v>39</v>
      </c>
      <c r="U5" s="13">
        <v>793</v>
      </c>
      <c r="V5" s="39">
        <v>112</v>
      </c>
      <c r="W5" s="39">
        <v>4243</v>
      </c>
      <c r="X5" s="39">
        <v>149</v>
      </c>
      <c r="Y5" s="16">
        <v>599</v>
      </c>
    </row>
    <row r="6" spans="1:25" x14ac:dyDescent="0.3">
      <c r="A6" s="5" t="s">
        <v>2</v>
      </c>
      <c r="B6" s="6">
        <v>28977</v>
      </c>
      <c r="D6" s="5" t="s">
        <v>34</v>
      </c>
      <c r="E6" s="10">
        <v>0.3514134668892599</v>
      </c>
      <c r="G6" s="5" t="s">
        <v>34</v>
      </c>
      <c r="H6" s="6">
        <v>63149</v>
      </c>
      <c r="J6" s="5" t="s">
        <v>5</v>
      </c>
      <c r="K6" s="6">
        <v>19727</v>
      </c>
      <c r="M6" s="5" t="s">
        <v>12</v>
      </c>
      <c r="N6" s="6">
        <v>1393</v>
      </c>
      <c r="P6" s="5" t="s">
        <v>34</v>
      </c>
      <c r="Q6" s="13">
        <v>63149</v>
      </c>
      <c r="R6" s="16">
        <v>22409</v>
      </c>
      <c r="T6" s="5" t="s">
        <v>34</v>
      </c>
      <c r="U6" s="13">
        <v>1476</v>
      </c>
      <c r="V6" s="39">
        <v>195</v>
      </c>
      <c r="W6" s="39">
        <v>6602</v>
      </c>
      <c r="X6" s="39">
        <v>351</v>
      </c>
      <c r="Y6" s="16">
        <v>630</v>
      </c>
    </row>
    <row r="7" spans="1:25" x14ac:dyDescent="0.3">
      <c r="A7" s="5" t="s">
        <v>3</v>
      </c>
      <c r="B7" s="6">
        <v>4862</v>
      </c>
      <c r="D7" s="5" t="s">
        <v>35</v>
      </c>
      <c r="E7" s="10">
        <v>0.10242626599888703</v>
      </c>
      <c r="G7" s="5" t="s">
        <v>35</v>
      </c>
      <c r="H7" s="6">
        <v>18406</v>
      </c>
      <c r="J7" s="7" t="s">
        <v>43</v>
      </c>
      <c r="K7" s="8">
        <v>92126</v>
      </c>
      <c r="M7" s="7" t="s">
        <v>43</v>
      </c>
      <c r="N7" s="8">
        <v>3366</v>
      </c>
      <c r="P7" s="5" t="s">
        <v>35</v>
      </c>
      <c r="Q7" s="13">
        <v>18406</v>
      </c>
      <c r="R7" s="16">
        <v>3381</v>
      </c>
      <c r="T7" s="5" t="s">
        <v>35</v>
      </c>
      <c r="U7" s="13">
        <v>469</v>
      </c>
      <c r="V7" s="39">
        <v>50</v>
      </c>
      <c r="W7" s="39">
        <v>3624</v>
      </c>
      <c r="X7" s="39">
        <v>86</v>
      </c>
      <c r="Y7" s="16">
        <v>351</v>
      </c>
    </row>
    <row r="8" spans="1:25" x14ac:dyDescent="0.3">
      <c r="A8" s="5" t="s">
        <v>4</v>
      </c>
      <c r="B8" s="6">
        <v>43422</v>
      </c>
      <c r="D8" s="5" t="s">
        <v>41</v>
      </c>
      <c r="E8" s="10">
        <v>4.3850862548692263E-3</v>
      </c>
      <c r="G8" s="5" t="s">
        <v>41</v>
      </c>
      <c r="H8" s="6">
        <v>788</v>
      </c>
      <c r="P8" s="5" t="s">
        <v>41</v>
      </c>
      <c r="Q8" s="13">
        <v>788</v>
      </c>
      <c r="R8" s="16">
        <v>526</v>
      </c>
      <c r="T8" s="5" t="s">
        <v>41</v>
      </c>
      <c r="U8" s="13">
        <v>24</v>
      </c>
      <c r="V8" s="39">
        <v>2</v>
      </c>
      <c r="W8" s="39">
        <v>5</v>
      </c>
      <c r="X8" s="39">
        <v>8</v>
      </c>
      <c r="Y8" s="16">
        <v>4</v>
      </c>
    </row>
    <row r="9" spans="1:25" x14ac:dyDescent="0.3">
      <c r="A9" s="5" t="s">
        <v>5</v>
      </c>
      <c r="B9" s="6">
        <v>19727</v>
      </c>
      <c r="D9" s="5" t="s">
        <v>36</v>
      </c>
      <c r="E9" s="10">
        <v>0.10679465776293823</v>
      </c>
      <c r="G9" s="5" t="s">
        <v>36</v>
      </c>
      <c r="H9" s="6">
        <v>19191</v>
      </c>
      <c r="P9" s="5" t="s">
        <v>36</v>
      </c>
      <c r="Q9" s="13">
        <v>19191</v>
      </c>
      <c r="R9" s="16">
        <v>5482</v>
      </c>
      <c r="T9" s="5" t="s">
        <v>36</v>
      </c>
      <c r="U9" s="13">
        <v>466</v>
      </c>
      <c r="V9" s="39">
        <v>37</v>
      </c>
      <c r="W9" s="39">
        <v>2470</v>
      </c>
      <c r="X9" s="39">
        <v>78</v>
      </c>
      <c r="Y9" s="16">
        <v>336</v>
      </c>
    </row>
    <row r="10" spans="1:25" x14ac:dyDescent="0.3">
      <c r="A10" s="5" t="s">
        <v>6</v>
      </c>
      <c r="B10" s="6">
        <v>16764</v>
      </c>
      <c r="D10" s="5" t="s">
        <v>40</v>
      </c>
      <c r="E10" s="10">
        <v>8.6260434056761273E-2</v>
      </c>
      <c r="G10" s="5" t="s">
        <v>40</v>
      </c>
      <c r="H10" s="6">
        <v>15501</v>
      </c>
      <c r="P10" s="5" t="s">
        <v>40</v>
      </c>
      <c r="Q10" s="13">
        <v>15501</v>
      </c>
      <c r="R10" s="16">
        <v>1914</v>
      </c>
      <c r="T10" s="5" t="s">
        <v>40</v>
      </c>
      <c r="U10" s="13">
        <v>328</v>
      </c>
      <c r="V10" s="39">
        <v>17</v>
      </c>
      <c r="W10" s="39">
        <v>2587</v>
      </c>
      <c r="X10" s="39">
        <v>34</v>
      </c>
      <c r="Y10" s="16">
        <v>53</v>
      </c>
    </row>
    <row r="11" spans="1:25" x14ac:dyDescent="0.3">
      <c r="A11" s="5" t="s">
        <v>7</v>
      </c>
      <c r="B11" s="6">
        <v>1642</v>
      </c>
      <c r="D11" s="5" t="s">
        <v>38</v>
      </c>
      <c r="E11" s="10">
        <v>7.0667779632721209E-2</v>
      </c>
      <c r="G11" s="5" t="s">
        <v>38</v>
      </c>
      <c r="H11" s="6">
        <v>12699</v>
      </c>
      <c r="P11" s="5" t="s">
        <v>38</v>
      </c>
      <c r="Q11" s="13">
        <v>12699</v>
      </c>
      <c r="R11" s="16">
        <v>4270</v>
      </c>
      <c r="T11" s="5" t="s">
        <v>38</v>
      </c>
      <c r="U11" s="13">
        <v>289</v>
      </c>
      <c r="V11" s="39">
        <v>45</v>
      </c>
      <c r="W11" s="39">
        <v>1082</v>
      </c>
      <c r="X11" s="39">
        <v>43</v>
      </c>
      <c r="Y11" s="16">
        <v>65</v>
      </c>
    </row>
    <row r="12" spans="1:25" x14ac:dyDescent="0.3">
      <c r="A12" s="5" t="s">
        <v>8</v>
      </c>
      <c r="B12" s="6">
        <v>788</v>
      </c>
      <c r="D12" s="7" t="s">
        <v>43</v>
      </c>
      <c r="E12" s="11">
        <v>1</v>
      </c>
      <c r="G12" s="7" t="s">
        <v>43</v>
      </c>
      <c r="H12" s="8">
        <v>179700</v>
      </c>
      <c r="P12" s="7" t="s">
        <v>43</v>
      </c>
      <c r="Q12" s="14">
        <v>179700</v>
      </c>
      <c r="R12" s="17">
        <v>55497</v>
      </c>
      <c r="T12" s="7" t="s">
        <v>43</v>
      </c>
      <c r="U12" s="14">
        <v>4035</v>
      </c>
      <c r="V12" s="40">
        <v>491</v>
      </c>
      <c r="W12" s="40">
        <v>22220</v>
      </c>
      <c r="X12" s="40">
        <v>806</v>
      </c>
      <c r="Y12" s="17">
        <v>2081</v>
      </c>
    </row>
    <row r="13" spans="1:25" x14ac:dyDescent="0.3">
      <c r="A13" s="5" t="s">
        <v>9</v>
      </c>
      <c r="B13" s="6">
        <v>17446</v>
      </c>
    </row>
    <row r="14" spans="1:25" x14ac:dyDescent="0.3">
      <c r="A14" s="5" t="s">
        <v>10</v>
      </c>
      <c r="B14" s="6">
        <v>15501</v>
      </c>
    </row>
    <row r="15" spans="1:25" x14ac:dyDescent="0.3">
      <c r="A15" s="5" t="s">
        <v>11</v>
      </c>
      <c r="B15" s="6">
        <v>1745</v>
      </c>
    </row>
    <row r="16" spans="1:25" x14ac:dyDescent="0.3">
      <c r="A16" s="5" t="s">
        <v>12</v>
      </c>
      <c r="B16" s="6">
        <v>1393</v>
      </c>
    </row>
    <row r="17" spans="1:2" x14ac:dyDescent="0.3">
      <c r="A17" s="5" t="s">
        <v>13</v>
      </c>
      <c r="B17" s="6">
        <v>11306</v>
      </c>
    </row>
    <row r="18" spans="1:2" x14ac:dyDescent="0.3">
      <c r="A18" s="7" t="s">
        <v>43</v>
      </c>
      <c r="B18" s="8">
        <v>179700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113E1-3BA8-4E3D-87B5-274E6DD177AA}">
  <dimension ref="A1:E198"/>
  <sheetViews>
    <sheetView workbookViewId="0">
      <selection activeCell="A3" sqref="A3"/>
    </sheetView>
  </sheetViews>
  <sheetFormatPr defaultRowHeight="14.4" x14ac:dyDescent="0.3"/>
  <cols>
    <col min="1" max="1" width="15.33203125" bestFit="1" customWidth="1"/>
    <col min="2" max="2" width="15.33203125" customWidth="1"/>
    <col min="3" max="3" width="23.33203125" bestFit="1" customWidth="1"/>
    <col min="4" max="4" width="23.33203125" customWidth="1"/>
    <col min="5" max="5" width="6" bestFit="1" customWidth="1"/>
  </cols>
  <sheetData>
    <row r="1" spans="1:5" x14ac:dyDescent="0.3">
      <c r="A1" s="57" t="s">
        <v>99</v>
      </c>
      <c r="B1" s="57"/>
      <c r="C1" s="57"/>
      <c r="D1" s="57"/>
      <c r="E1" s="57"/>
    </row>
    <row r="2" spans="1:5" x14ac:dyDescent="0.3">
      <c r="A2" s="18" t="s">
        <v>14</v>
      </c>
      <c r="B2" s="18" t="s">
        <v>76</v>
      </c>
      <c r="C2" s="18" t="s">
        <v>50</v>
      </c>
      <c r="D2" s="18" t="s">
        <v>49</v>
      </c>
      <c r="E2" s="18" t="s">
        <v>67</v>
      </c>
    </row>
    <row r="3" spans="1:5" x14ac:dyDescent="0.3">
      <c r="A3" s="1" t="s">
        <v>5</v>
      </c>
      <c r="B3" s="1" t="str">
        <f>VLOOKUP(A3,Main!$A$4:$B$17,2,0)</f>
        <v>DHAKA</v>
      </c>
      <c r="C3" s="1" t="s">
        <v>15</v>
      </c>
      <c r="D3" s="1" cm="1">
        <f t="array" ref="D3">_xlfn.XLOOKUP(Sheet2!C3,'Insights &amp; Interpretation'!$B$3:$B$16,'Insights &amp; Interpretation'!$A$3:A$16,0)</f>
        <v>2</v>
      </c>
      <c r="E3" s="1">
        <v>45</v>
      </c>
    </row>
    <row r="4" spans="1:5" x14ac:dyDescent="0.3">
      <c r="A4" s="1" t="s">
        <v>3</v>
      </c>
      <c r="B4" s="1" t="str">
        <f>VLOOKUP(A4,Main!$A$4:$B$17,2,0)</f>
        <v>CHITTAGONG</v>
      </c>
      <c r="C4" s="1" t="s">
        <v>15</v>
      </c>
      <c r="D4" s="1" cm="1">
        <f t="array" ref="D4">_xlfn.XLOOKUP(Sheet2!C4,'Insights &amp; Interpretation'!$B$3:$B$16,'Insights &amp; Interpretation'!$A$3:A$16,0)</f>
        <v>2</v>
      </c>
      <c r="E4" s="1">
        <v>5</v>
      </c>
    </row>
    <row r="5" spans="1:5" x14ac:dyDescent="0.3">
      <c r="A5" s="1" t="s">
        <v>7</v>
      </c>
      <c r="B5" s="1" t="str">
        <f>VLOOKUP(A5,Main!$A$4:$B$17,2,0)</f>
        <v>KHULNA</v>
      </c>
      <c r="C5" s="1" t="s">
        <v>15</v>
      </c>
      <c r="D5" s="1" cm="1">
        <f t="array" ref="D5">_xlfn.XLOOKUP(Sheet2!C5,'Insights &amp; Interpretation'!$B$3:$B$16,'Insights &amp; Interpretation'!$A$3:A$16,0)</f>
        <v>2</v>
      </c>
      <c r="E5" s="1">
        <v>9</v>
      </c>
    </row>
    <row r="6" spans="1:5" x14ac:dyDescent="0.3">
      <c r="A6" s="1" t="s">
        <v>11</v>
      </c>
      <c r="B6" s="1" t="str">
        <f>VLOOKUP(A6,Main!$A$4:$B$17,2,0)</f>
        <v>RAJSHAHI</v>
      </c>
      <c r="C6" s="1" t="s">
        <v>15</v>
      </c>
      <c r="D6" s="1" cm="1">
        <f t="array" ref="D6">_xlfn.XLOOKUP(Sheet2!C6,'Insights &amp; Interpretation'!$B$3:$B$16,'Insights &amp; Interpretation'!$A$3:A$16,0)</f>
        <v>2</v>
      </c>
      <c r="E6" s="1">
        <v>0</v>
      </c>
    </row>
    <row r="7" spans="1:5" x14ac:dyDescent="0.3">
      <c r="A7" s="1" t="s">
        <v>1</v>
      </c>
      <c r="B7" s="1" t="str">
        <f>VLOOKUP(A7,Main!$A$4:$B$17,2,0)</f>
        <v>BARISHAL</v>
      </c>
      <c r="C7" s="1" t="s">
        <v>15</v>
      </c>
      <c r="D7" s="1" cm="1">
        <f t="array" ref="D7">_xlfn.XLOOKUP(Sheet2!C7,'Insights &amp; Interpretation'!$B$3:$B$16,'Insights &amp; Interpretation'!$A$3:A$16,0)</f>
        <v>2</v>
      </c>
      <c r="E7" s="1">
        <v>2</v>
      </c>
    </row>
    <row r="8" spans="1:5" x14ac:dyDescent="0.3">
      <c r="A8" s="1" t="s">
        <v>12</v>
      </c>
      <c r="B8" s="1" t="str">
        <f>VLOOKUP(A8,Main!$A$4:$B$17,2,0)</f>
        <v>SYLHET</v>
      </c>
      <c r="C8" s="1" t="s">
        <v>15</v>
      </c>
      <c r="D8" s="1" cm="1">
        <f t="array" ref="D8">_xlfn.XLOOKUP(Sheet2!C8,'Insights &amp; Interpretation'!$B$3:$B$16,'Insights &amp; Interpretation'!$A$3:A$16,0)</f>
        <v>2</v>
      </c>
      <c r="E8" s="1">
        <v>19</v>
      </c>
    </row>
    <row r="9" spans="1:5" x14ac:dyDescent="0.3">
      <c r="A9" s="1" t="s">
        <v>4</v>
      </c>
      <c r="B9" s="1" t="str">
        <f>VLOOKUP(A9,Main!$A$4:$B$17,2,0)</f>
        <v>DHAKA</v>
      </c>
      <c r="C9" s="1" t="s">
        <v>15</v>
      </c>
      <c r="D9" s="1" cm="1">
        <f t="array" ref="D9">_xlfn.XLOOKUP(Sheet2!C9,'Insights &amp; Interpretation'!$B$3:$B$16,'Insights &amp; Interpretation'!$A$3:A$16,0)</f>
        <v>2</v>
      </c>
      <c r="E9" s="1">
        <v>150</v>
      </c>
    </row>
    <row r="10" spans="1:5" x14ac:dyDescent="0.3">
      <c r="A10" s="1" t="s">
        <v>2</v>
      </c>
      <c r="B10" s="1" t="str">
        <f>VLOOKUP(A10,Main!$A$4:$B$17,2,0)</f>
        <v>CHITTAGONG</v>
      </c>
      <c r="C10" s="1" t="s">
        <v>15</v>
      </c>
      <c r="D10" s="1" cm="1">
        <f t="array" ref="D10">_xlfn.XLOOKUP(Sheet2!C10,'Insights &amp; Interpretation'!$B$3:$B$16,'Insights &amp; Interpretation'!$A$3:A$16,0)</f>
        <v>2</v>
      </c>
      <c r="E10" s="1">
        <v>107</v>
      </c>
    </row>
    <row r="11" spans="1:5" x14ac:dyDescent="0.3">
      <c r="A11" s="1" t="s">
        <v>13</v>
      </c>
      <c r="B11" s="1" t="str">
        <f>VLOOKUP(A11,Main!$A$4:$B$17,2,0)</f>
        <v>SYLHET</v>
      </c>
      <c r="C11" s="1" t="s">
        <v>15</v>
      </c>
      <c r="D11" s="1" cm="1">
        <f t="array" ref="D11">_xlfn.XLOOKUP(Sheet2!C11,'Insights &amp; Interpretation'!$B$3:$B$16,'Insights &amp; Interpretation'!$A$3:A$16,0)</f>
        <v>2</v>
      </c>
      <c r="E11" s="1">
        <v>26</v>
      </c>
    </row>
    <row r="12" spans="1:5" x14ac:dyDescent="0.3">
      <c r="A12" s="1" t="s">
        <v>6</v>
      </c>
      <c r="B12" s="1" t="str">
        <f>VLOOKUP(A12,Main!$A$4:$B$17,2,0)</f>
        <v>KHULNA</v>
      </c>
      <c r="C12" s="1" t="s">
        <v>15</v>
      </c>
      <c r="D12" s="1" cm="1">
        <f t="array" ref="D12">_xlfn.XLOOKUP(Sheet2!C12,'Insights &amp; Interpretation'!$B$3:$B$16,'Insights &amp; Interpretation'!$A$3:A$16,0)</f>
        <v>2</v>
      </c>
      <c r="E12" s="1">
        <v>41</v>
      </c>
    </row>
    <row r="13" spans="1:5" x14ac:dyDescent="0.3">
      <c r="A13" s="1" t="s">
        <v>0</v>
      </c>
      <c r="B13" s="1" t="str">
        <f>VLOOKUP(A13,Main!$A$4:$B$17,2,0)</f>
        <v>BARISHAL</v>
      </c>
      <c r="C13" s="1" t="s">
        <v>15</v>
      </c>
      <c r="D13" s="1" cm="1">
        <f t="array" ref="D13">_xlfn.XLOOKUP(Sheet2!C13,'Insights &amp; Interpretation'!$B$3:$B$16,'Insights &amp; Interpretation'!$A$3:A$16,0)</f>
        <v>2</v>
      </c>
      <c r="E13" s="1">
        <v>31</v>
      </c>
    </row>
    <row r="14" spans="1:5" x14ac:dyDescent="0.3">
      <c r="A14" s="1" t="s">
        <v>9</v>
      </c>
      <c r="B14" s="1" t="str">
        <f>VLOOKUP(A14,Main!$A$4:$B$17,2,0)</f>
        <v>RAJSHAHI</v>
      </c>
      <c r="C14" s="1" t="s">
        <v>15</v>
      </c>
      <c r="D14" s="1" cm="1">
        <f t="array" ref="D14">_xlfn.XLOOKUP(Sheet2!C14,'Insights &amp; Interpretation'!$B$3:$B$16,'Insights &amp; Interpretation'!$A$3:A$16,0)</f>
        <v>2</v>
      </c>
      <c r="E14" s="1">
        <v>37</v>
      </c>
    </row>
    <row r="15" spans="1:5" x14ac:dyDescent="0.3">
      <c r="A15" s="1" t="s">
        <v>10</v>
      </c>
      <c r="B15" s="1" t="str">
        <f>VLOOKUP(A15,Main!$A$4:$B$17,2,0)</f>
        <v>RANGPUR</v>
      </c>
      <c r="C15" s="1" t="s">
        <v>15</v>
      </c>
      <c r="D15" s="1" cm="1">
        <f t="array" ref="D15">_xlfn.XLOOKUP(Sheet2!C15,'Insights &amp; Interpretation'!$B$3:$B$16,'Insights &amp; Interpretation'!$A$3:A$16,0)</f>
        <v>2</v>
      </c>
      <c r="E15" s="1">
        <v>17</v>
      </c>
    </row>
    <row r="16" spans="1:5" x14ac:dyDescent="0.3">
      <c r="A16" s="1" t="s">
        <v>8</v>
      </c>
      <c r="B16" s="1" t="str">
        <f>VLOOKUP(A16,Main!$A$4:$B$17,2,0)</f>
        <v>RAILWAY</v>
      </c>
      <c r="C16" s="1" t="s">
        <v>15</v>
      </c>
      <c r="D16" s="1" cm="1">
        <f t="array" ref="D16">_xlfn.XLOOKUP(Sheet2!C16,'Insights &amp; Interpretation'!$B$3:$B$16,'Insights &amp; Interpretation'!$A$3:A$16,0)</f>
        <v>2</v>
      </c>
      <c r="E16" s="1">
        <v>2</v>
      </c>
    </row>
    <row r="17" spans="1:5" x14ac:dyDescent="0.3">
      <c r="A17" s="1" t="s">
        <v>5</v>
      </c>
      <c r="B17" s="1" t="str">
        <f>VLOOKUP(A17,Main!$A$4:$B$17,2,0)</f>
        <v>DHAKA</v>
      </c>
      <c r="C17" s="1" t="s">
        <v>16</v>
      </c>
      <c r="D17" s="1" cm="1">
        <f t="array" ref="D17">_xlfn.XLOOKUP(Sheet2!C17,'Insights &amp; Interpretation'!$B$3:$B$16,'Insights &amp; Interpretation'!$A$3:A$16,0)</f>
        <v>9</v>
      </c>
      <c r="E17" s="1">
        <v>205</v>
      </c>
    </row>
    <row r="18" spans="1:5" x14ac:dyDescent="0.3">
      <c r="A18" s="1" t="s">
        <v>3</v>
      </c>
      <c r="B18" s="1" t="str">
        <f>VLOOKUP(A18,Main!$A$4:$B$17,2,0)</f>
        <v>CHITTAGONG</v>
      </c>
      <c r="C18" s="1" t="s">
        <v>16</v>
      </c>
      <c r="D18" s="1" cm="1">
        <f t="array" ref="D18">_xlfn.XLOOKUP(Sheet2!C18,'Insights &amp; Interpretation'!$B$3:$B$16,'Insights &amp; Interpretation'!$A$3:A$16,0)</f>
        <v>9</v>
      </c>
      <c r="E18" s="1">
        <v>61</v>
      </c>
    </row>
    <row r="19" spans="1:5" x14ac:dyDescent="0.3">
      <c r="A19" s="1" t="s">
        <v>7</v>
      </c>
      <c r="B19" s="1" t="str">
        <f>VLOOKUP(A19,Main!$A$4:$B$17,2,0)</f>
        <v>KHULNA</v>
      </c>
      <c r="C19" s="1" t="s">
        <v>16</v>
      </c>
      <c r="D19" s="1" cm="1">
        <f t="array" ref="D19">_xlfn.XLOOKUP(Sheet2!C19,'Insights &amp; Interpretation'!$B$3:$B$16,'Insights &amp; Interpretation'!$A$3:A$16,0)</f>
        <v>9</v>
      </c>
      <c r="E19" s="1">
        <v>15</v>
      </c>
    </row>
    <row r="20" spans="1:5" x14ac:dyDescent="0.3">
      <c r="A20" s="1" t="s">
        <v>11</v>
      </c>
      <c r="B20" s="1" t="str">
        <f>VLOOKUP(A20,Main!$A$4:$B$17,2,0)</f>
        <v>RAJSHAHI</v>
      </c>
      <c r="C20" s="1" t="s">
        <v>16</v>
      </c>
      <c r="D20" s="1" cm="1">
        <f t="array" ref="D20">_xlfn.XLOOKUP(Sheet2!C20,'Insights &amp; Interpretation'!$B$3:$B$16,'Insights &amp; Interpretation'!$A$3:A$16,0)</f>
        <v>9</v>
      </c>
      <c r="E20" s="1">
        <v>19</v>
      </c>
    </row>
    <row r="21" spans="1:5" x14ac:dyDescent="0.3">
      <c r="A21" s="1" t="s">
        <v>1</v>
      </c>
      <c r="B21" s="1" t="str">
        <f>VLOOKUP(A21,Main!$A$4:$B$17,2,0)</f>
        <v>BARISHAL</v>
      </c>
      <c r="C21" s="1" t="s">
        <v>16</v>
      </c>
      <c r="D21" s="1" cm="1">
        <f t="array" ref="D21">_xlfn.XLOOKUP(Sheet2!C21,'Insights &amp; Interpretation'!$B$3:$B$16,'Insights &amp; Interpretation'!$A$3:A$16,0)</f>
        <v>9</v>
      </c>
      <c r="E21" s="1">
        <v>11</v>
      </c>
    </row>
    <row r="22" spans="1:5" x14ac:dyDescent="0.3">
      <c r="A22" s="1" t="s">
        <v>12</v>
      </c>
      <c r="B22" s="1" t="str">
        <f>VLOOKUP(A22,Main!$A$4:$B$17,2,0)</f>
        <v>SYLHET</v>
      </c>
      <c r="C22" s="1" t="s">
        <v>16</v>
      </c>
      <c r="D22" s="1" cm="1">
        <f t="array" ref="D22">_xlfn.XLOOKUP(Sheet2!C22,'Insights &amp; Interpretation'!$B$3:$B$16,'Insights &amp; Interpretation'!$A$3:A$16,0)</f>
        <v>9</v>
      </c>
      <c r="E22" s="1">
        <v>14</v>
      </c>
    </row>
    <row r="23" spans="1:5" x14ac:dyDescent="0.3">
      <c r="A23" s="1" t="s">
        <v>4</v>
      </c>
      <c r="B23" s="1" t="str">
        <f>VLOOKUP(A23,Main!$A$4:$B$17,2,0)</f>
        <v>DHAKA</v>
      </c>
      <c r="C23" s="1" t="s">
        <v>16</v>
      </c>
      <c r="D23" s="1" cm="1">
        <f t="array" ref="D23">_xlfn.XLOOKUP(Sheet2!C23,'Insights &amp; Interpretation'!$B$3:$B$16,'Insights &amp; Interpretation'!$A$3:A$16,0)</f>
        <v>9</v>
      </c>
      <c r="E23" s="1">
        <v>164</v>
      </c>
    </row>
    <row r="24" spans="1:5" x14ac:dyDescent="0.3">
      <c r="A24" s="1" t="s">
        <v>2</v>
      </c>
      <c r="B24" s="1" t="str">
        <f>VLOOKUP(A24,Main!$A$4:$B$17,2,0)</f>
        <v>CHITTAGONG</v>
      </c>
      <c r="C24" s="1" t="s">
        <v>16</v>
      </c>
      <c r="D24" s="1" cm="1">
        <f t="array" ref="D24">_xlfn.XLOOKUP(Sheet2!C24,'Insights &amp; Interpretation'!$B$3:$B$16,'Insights &amp; Interpretation'!$A$3:A$16,0)</f>
        <v>9</v>
      </c>
      <c r="E24" s="1">
        <v>133</v>
      </c>
    </row>
    <row r="25" spans="1:5" x14ac:dyDescent="0.3">
      <c r="A25" s="1" t="s">
        <v>13</v>
      </c>
      <c r="B25" s="1" t="str">
        <f>VLOOKUP(A25,Main!$A$4:$B$17,2,0)</f>
        <v>SYLHET</v>
      </c>
      <c r="C25" s="1" t="s">
        <v>16</v>
      </c>
      <c r="D25" s="1" cm="1">
        <f t="array" ref="D25">_xlfn.XLOOKUP(Sheet2!C25,'Insights &amp; Interpretation'!$B$3:$B$16,'Insights &amp; Interpretation'!$A$3:A$16,0)</f>
        <v>9</v>
      </c>
      <c r="E25" s="1">
        <v>26</v>
      </c>
    </row>
    <row r="26" spans="1:5" x14ac:dyDescent="0.3">
      <c r="A26" s="1" t="s">
        <v>6</v>
      </c>
      <c r="B26" s="1" t="str">
        <f>VLOOKUP(A26,Main!$A$4:$B$17,2,0)</f>
        <v>KHULNA</v>
      </c>
      <c r="C26" s="1" t="s">
        <v>16</v>
      </c>
      <c r="D26" s="1" cm="1">
        <f t="array" ref="D26">_xlfn.XLOOKUP(Sheet2!C26,'Insights &amp; Interpretation'!$B$3:$B$16,'Insights &amp; Interpretation'!$A$3:A$16,0)</f>
        <v>9</v>
      </c>
      <c r="E26" s="1">
        <v>112</v>
      </c>
    </row>
    <row r="27" spans="1:5" x14ac:dyDescent="0.3">
      <c r="A27" s="1" t="s">
        <v>0</v>
      </c>
      <c r="B27" s="1" t="str">
        <f>VLOOKUP(A27,Main!$A$4:$B$17,2,0)</f>
        <v>BARISHAL</v>
      </c>
      <c r="C27" s="1" t="s">
        <v>16</v>
      </c>
      <c r="D27" s="1" cm="1">
        <f t="array" ref="D27">_xlfn.XLOOKUP(Sheet2!C27,'Insights &amp; Interpretation'!$B$3:$B$16,'Insights &amp; Interpretation'!$A$3:A$16,0)</f>
        <v>9</v>
      </c>
      <c r="E27" s="1">
        <v>47</v>
      </c>
    </row>
    <row r="28" spans="1:5" x14ac:dyDescent="0.3">
      <c r="A28" s="1" t="s">
        <v>9</v>
      </c>
      <c r="B28" s="1" t="str">
        <f>VLOOKUP(A28,Main!$A$4:$B$17,2,0)</f>
        <v>RAJSHAHI</v>
      </c>
      <c r="C28" s="1" t="s">
        <v>16</v>
      </c>
      <c r="D28" s="1" cm="1">
        <f t="array" ref="D28">_xlfn.XLOOKUP(Sheet2!C28,'Insights &amp; Interpretation'!$B$3:$B$16,'Insights &amp; Interpretation'!$A$3:A$16,0)</f>
        <v>9</v>
      </c>
      <c r="E28" s="1">
        <v>66</v>
      </c>
    </row>
    <row r="29" spans="1:5" x14ac:dyDescent="0.3">
      <c r="A29" s="1" t="s">
        <v>10</v>
      </c>
      <c r="B29" s="1" t="str">
        <f>VLOOKUP(A29,Main!$A$4:$B$17,2,0)</f>
        <v>RANGPUR</v>
      </c>
      <c r="C29" s="1" t="s">
        <v>16</v>
      </c>
      <c r="D29" s="1" cm="1">
        <f t="array" ref="D29">_xlfn.XLOOKUP(Sheet2!C29,'Insights &amp; Interpretation'!$B$3:$B$16,'Insights &amp; Interpretation'!$A$3:A$16,0)</f>
        <v>9</v>
      </c>
      <c r="E29" s="1">
        <v>50</v>
      </c>
    </row>
    <row r="30" spans="1:5" x14ac:dyDescent="0.3">
      <c r="A30" s="1" t="s">
        <v>8</v>
      </c>
      <c r="B30" s="1" t="str">
        <f>VLOOKUP(A30,Main!$A$4:$B$17,2,0)</f>
        <v>RAILWAY</v>
      </c>
      <c r="C30" s="1" t="s">
        <v>16</v>
      </c>
      <c r="D30" s="1" cm="1">
        <f t="array" ref="D30">_xlfn.XLOOKUP(Sheet2!C30,'Insights &amp; Interpretation'!$B$3:$B$16,'Insights &amp; Interpretation'!$A$3:A$16,0)</f>
        <v>9</v>
      </c>
      <c r="E30" s="1">
        <v>10</v>
      </c>
    </row>
    <row r="31" spans="1:5" x14ac:dyDescent="0.3">
      <c r="A31" s="1" t="s">
        <v>5</v>
      </c>
      <c r="B31" s="1" t="str">
        <f>VLOOKUP(A31,Main!$A$4:$B$17,2,0)</f>
        <v>DHAKA</v>
      </c>
      <c r="C31" s="1" t="s">
        <v>17</v>
      </c>
      <c r="D31" s="1" cm="1">
        <f t="array" ref="D31">_xlfn.XLOOKUP(Sheet2!C31,'Insights &amp; Interpretation'!$B$3:$B$16,'Insights &amp; Interpretation'!$A$3:A$16,0)</f>
        <v>1</v>
      </c>
      <c r="E31" s="1">
        <v>239</v>
      </c>
    </row>
    <row r="32" spans="1:5" x14ac:dyDescent="0.3">
      <c r="A32" s="1" t="s">
        <v>3</v>
      </c>
      <c r="B32" s="1" t="str">
        <f>VLOOKUP(A32,Main!$A$4:$B$17,2,0)</f>
        <v>CHITTAGONG</v>
      </c>
      <c r="C32" s="1" t="s">
        <v>17</v>
      </c>
      <c r="D32" s="1" cm="1">
        <f t="array" ref="D32">_xlfn.XLOOKUP(Sheet2!C32,'Insights &amp; Interpretation'!$B$3:$B$16,'Insights &amp; Interpretation'!$A$3:A$16,0)</f>
        <v>1</v>
      </c>
      <c r="E32" s="1">
        <v>105</v>
      </c>
    </row>
    <row r="33" spans="1:5" x14ac:dyDescent="0.3">
      <c r="A33" s="1" t="s">
        <v>7</v>
      </c>
      <c r="B33" s="1" t="str">
        <f>VLOOKUP(A33,Main!$A$4:$B$17,2,0)</f>
        <v>KHULNA</v>
      </c>
      <c r="C33" s="1" t="s">
        <v>17</v>
      </c>
      <c r="D33" s="1" cm="1">
        <f t="array" ref="D33">_xlfn.XLOOKUP(Sheet2!C33,'Insights &amp; Interpretation'!$B$3:$B$16,'Insights &amp; Interpretation'!$A$3:A$16,0)</f>
        <v>1</v>
      </c>
      <c r="E33" s="1">
        <v>30</v>
      </c>
    </row>
    <row r="34" spans="1:5" x14ac:dyDescent="0.3">
      <c r="A34" s="1" t="s">
        <v>11</v>
      </c>
      <c r="B34" s="1" t="str">
        <f>VLOOKUP(A34,Main!$A$4:$B$17,2,0)</f>
        <v>RAJSHAHI</v>
      </c>
      <c r="C34" s="1" t="s">
        <v>17</v>
      </c>
      <c r="D34" s="1" cm="1">
        <f t="array" ref="D34">_xlfn.XLOOKUP(Sheet2!C34,'Insights &amp; Interpretation'!$B$3:$B$16,'Insights &amp; Interpretation'!$A$3:A$16,0)</f>
        <v>1</v>
      </c>
      <c r="E34" s="1">
        <v>20</v>
      </c>
    </row>
    <row r="35" spans="1:5" x14ac:dyDescent="0.3">
      <c r="A35" s="1" t="s">
        <v>1</v>
      </c>
      <c r="B35" s="1" t="str">
        <f>VLOOKUP(A35,Main!$A$4:$B$17,2,0)</f>
        <v>BARISHAL</v>
      </c>
      <c r="C35" s="1" t="s">
        <v>17</v>
      </c>
      <c r="D35" s="1" cm="1">
        <f t="array" ref="D35">_xlfn.XLOOKUP(Sheet2!C35,'Insights &amp; Interpretation'!$B$3:$B$16,'Insights &amp; Interpretation'!$A$3:A$16,0)</f>
        <v>1</v>
      </c>
      <c r="E35" s="1">
        <v>15</v>
      </c>
    </row>
    <row r="36" spans="1:5" x14ac:dyDescent="0.3">
      <c r="A36" s="1" t="s">
        <v>12</v>
      </c>
      <c r="B36" s="1" t="str">
        <f>VLOOKUP(A36,Main!$A$4:$B$17,2,0)</f>
        <v>SYLHET</v>
      </c>
      <c r="C36" s="1" t="s">
        <v>17</v>
      </c>
      <c r="D36" s="1" cm="1">
        <f t="array" ref="D36">_xlfn.XLOOKUP(Sheet2!C36,'Insights &amp; Interpretation'!$B$3:$B$16,'Insights &amp; Interpretation'!$A$3:A$16,0)</f>
        <v>1</v>
      </c>
      <c r="E36" s="1">
        <v>37</v>
      </c>
    </row>
    <row r="37" spans="1:5" x14ac:dyDescent="0.3">
      <c r="A37" s="1" t="s">
        <v>4</v>
      </c>
      <c r="B37" s="1" t="str">
        <f>VLOOKUP(A37,Main!$A$4:$B$17,2,0)</f>
        <v>DHAKA</v>
      </c>
      <c r="C37" s="1" t="s">
        <v>17</v>
      </c>
      <c r="D37" s="1" cm="1">
        <f t="array" ref="D37">_xlfn.XLOOKUP(Sheet2!C37,'Insights &amp; Interpretation'!$B$3:$B$16,'Insights &amp; Interpretation'!$A$3:A$16,0)</f>
        <v>1</v>
      </c>
      <c r="E37" s="1">
        <v>1237</v>
      </c>
    </row>
    <row r="38" spans="1:5" x14ac:dyDescent="0.3">
      <c r="A38" s="1" t="s">
        <v>2</v>
      </c>
      <c r="B38" s="1" t="str">
        <f>VLOOKUP(A38,Main!$A$4:$B$17,2,0)</f>
        <v>CHITTAGONG</v>
      </c>
      <c r="C38" s="1" t="s">
        <v>17</v>
      </c>
      <c r="D38" s="1" cm="1">
        <f t="array" ref="D38">_xlfn.XLOOKUP(Sheet2!C38,'Insights &amp; Interpretation'!$B$3:$B$16,'Insights &amp; Interpretation'!$A$3:A$16,0)</f>
        <v>1</v>
      </c>
      <c r="E38" s="1">
        <v>688</v>
      </c>
    </row>
    <row r="39" spans="1:5" x14ac:dyDescent="0.3">
      <c r="A39" s="1" t="s">
        <v>13</v>
      </c>
      <c r="B39" s="1" t="str">
        <f>VLOOKUP(A39,Main!$A$4:$B$17,2,0)</f>
        <v>SYLHET</v>
      </c>
      <c r="C39" s="1" t="s">
        <v>17</v>
      </c>
      <c r="D39" s="1" cm="1">
        <f t="array" ref="D39">_xlfn.XLOOKUP(Sheet2!C39,'Insights &amp; Interpretation'!$B$3:$B$16,'Insights &amp; Interpretation'!$A$3:A$16,0)</f>
        <v>1</v>
      </c>
      <c r="E39" s="1">
        <v>252</v>
      </c>
    </row>
    <row r="40" spans="1:5" x14ac:dyDescent="0.3">
      <c r="A40" s="1" t="s">
        <v>6</v>
      </c>
      <c r="B40" s="1" t="str">
        <f>VLOOKUP(A40,Main!$A$4:$B$17,2,0)</f>
        <v>KHULNA</v>
      </c>
      <c r="C40" s="1" t="s">
        <v>17</v>
      </c>
      <c r="D40" s="1" cm="1">
        <f t="array" ref="D40">_xlfn.XLOOKUP(Sheet2!C40,'Insights &amp; Interpretation'!$B$3:$B$16,'Insights &amp; Interpretation'!$A$3:A$16,0)</f>
        <v>1</v>
      </c>
      <c r="E40" s="1">
        <v>439</v>
      </c>
    </row>
    <row r="41" spans="1:5" x14ac:dyDescent="0.3">
      <c r="A41" s="1" t="s">
        <v>0</v>
      </c>
      <c r="B41" s="1" t="str">
        <f>VLOOKUP(A41,Main!$A$4:$B$17,2,0)</f>
        <v>BARISHAL</v>
      </c>
      <c r="C41" s="1" t="s">
        <v>17</v>
      </c>
      <c r="D41" s="1" cm="1">
        <f t="array" ref="D41">_xlfn.XLOOKUP(Sheet2!C41,'Insights &amp; Interpretation'!$B$3:$B$16,'Insights &amp; Interpretation'!$A$3:A$16,0)</f>
        <v>1</v>
      </c>
      <c r="E41" s="1">
        <v>175</v>
      </c>
    </row>
    <row r="42" spans="1:5" x14ac:dyDescent="0.3">
      <c r="A42" s="1" t="s">
        <v>9</v>
      </c>
      <c r="B42" s="1" t="str">
        <f>VLOOKUP(A42,Main!$A$4:$B$17,2,0)</f>
        <v>RAJSHAHI</v>
      </c>
      <c r="C42" s="1" t="s">
        <v>17</v>
      </c>
      <c r="D42" s="1" cm="1">
        <f t="array" ref="D42">_xlfn.XLOOKUP(Sheet2!C42,'Insights &amp; Interpretation'!$B$3:$B$16,'Insights &amp; Interpretation'!$A$3:A$16,0)</f>
        <v>1</v>
      </c>
      <c r="E42" s="1">
        <v>446</v>
      </c>
    </row>
    <row r="43" spans="1:5" x14ac:dyDescent="0.3">
      <c r="A43" s="1" t="s">
        <v>10</v>
      </c>
      <c r="B43" s="1" t="str">
        <f>VLOOKUP(A43,Main!$A$4:$B$17,2,0)</f>
        <v>RANGPUR</v>
      </c>
      <c r="C43" s="1" t="s">
        <v>17</v>
      </c>
      <c r="D43" s="1" cm="1">
        <f t="array" ref="D43">_xlfn.XLOOKUP(Sheet2!C43,'Insights &amp; Interpretation'!$B$3:$B$16,'Insights &amp; Interpretation'!$A$3:A$16,0)</f>
        <v>1</v>
      </c>
      <c r="E43" s="1">
        <v>328</v>
      </c>
    </row>
    <row r="44" spans="1:5" x14ac:dyDescent="0.3">
      <c r="A44" s="1" t="s">
        <v>8</v>
      </c>
      <c r="B44" s="1" t="str">
        <f>VLOOKUP(A44,Main!$A$4:$B$17,2,0)</f>
        <v>RAILWAY</v>
      </c>
      <c r="C44" s="1" t="s">
        <v>17</v>
      </c>
      <c r="D44" s="1" cm="1">
        <f t="array" ref="D44">_xlfn.XLOOKUP(Sheet2!C44,'Insights &amp; Interpretation'!$B$3:$B$16,'Insights &amp; Interpretation'!$A$3:A$16,0)</f>
        <v>1</v>
      </c>
      <c r="E44" s="1">
        <v>24</v>
      </c>
    </row>
    <row r="45" spans="1:5" x14ac:dyDescent="0.3">
      <c r="A45" s="1" t="s">
        <v>5</v>
      </c>
      <c r="B45" s="1" t="str">
        <f>VLOOKUP(A45,Main!$A$4:$B$17,2,0)</f>
        <v>DHAKA</v>
      </c>
      <c r="C45" s="1" t="s">
        <v>18</v>
      </c>
      <c r="D45" s="1" cm="1">
        <f t="array" ref="D45">_xlfn.XLOOKUP(Sheet2!C45,'Insights &amp; Interpretation'!$B$3:$B$16,'Insights &amp; Interpretation'!$A$3:A$16,0)</f>
        <v>14</v>
      </c>
      <c r="E45" s="1">
        <v>226</v>
      </c>
    </row>
    <row r="46" spans="1:5" x14ac:dyDescent="0.3">
      <c r="A46" s="1" t="s">
        <v>3</v>
      </c>
      <c r="B46" s="1" t="str">
        <f>VLOOKUP(A46,Main!$A$4:$B$17,2,0)</f>
        <v>CHITTAGONG</v>
      </c>
      <c r="C46" s="1" t="s">
        <v>18</v>
      </c>
      <c r="D46" s="1" cm="1">
        <f t="array" ref="D46">_xlfn.XLOOKUP(Sheet2!C46,'Insights &amp; Interpretation'!$B$3:$B$16,'Insights &amp; Interpretation'!$A$3:A$16,0)</f>
        <v>14</v>
      </c>
      <c r="E46" s="1">
        <v>67</v>
      </c>
    </row>
    <row r="47" spans="1:5" x14ac:dyDescent="0.3">
      <c r="A47" s="1" t="s">
        <v>7</v>
      </c>
      <c r="B47" s="1" t="str">
        <f>VLOOKUP(A47,Main!$A$4:$B$17,2,0)</f>
        <v>KHULNA</v>
      </c>
      <c r="C47" s="1" t="s">
        <v>18</v>
      </c>
      <c r="D47" s="1" cm="1">
        <f t="array" ref="D47">_xlfn.XLOOKUP(Sheet2!C47,'Insights &amp; Interpretation'!$B$3:$B$16,'Insights &amp; Interpretation'!$A$3:A$16,0)</f>
        <v>14</v>
      </c>
      <c r="E47" s="1">
        <v>19</v>
      </c>
    </row>
    <row r="48" spans="1:5" x14ac:dyDescent="0.3">
      <c r="A48" s="1" t="s">
        <v>11</v>
      </c>
      <c r="B48" s="1" t="str">
        <f>VLOOKUP(A48,Main!$A$4:$B$17,2,0)</f>
        <v>RAJSHAHI</v>
      </c>
      <c r="C48" s="1" t="s">
        <v>18</v>
      </c>
      <c r="D48" s="1" cm="1">
        <f t="array" ref="D48">_xlfn.XLOOKUP(Sheet2!C48,'Insights &amp; Interpretation'!$B$3:$B$16,'Insights &amp; Interpretation'!$A$3:A$16,0)</f>
        <v>14</v>
      </c>
      <c r="E48" s="1">
        <v>12</v>
      </c>
    </row>
    <row r="49" spans="1:5" x14ac:dyDescent="0.3">
      <c r="A49" s="1" t="s">
        <v>1</v>
      </c>
      <c r="B49" s="1" t="str">
        <f>VLOOKUP(A49,Main!$A$4:$B$17,2,0)</f>
        <v>BARISHAL</v>
      </c>
      <c r="C49" s="1" t="s">
        <v>18</v>
      </c>
      <c r="D49" s="1" cm="1">
        <f t="array" ref="D49">_xlfn.XLOOKUP(Sheet2!C49,'Insights &amp; Interpretation'!$B$3:$B$16,'Insights &amp; Interpretation'!$A$3:A$16,0)</f>
        <v>14</v>
      </c>
      <c r="E49" s="1">
        <v>5</v>
      </c>
    </row>
    <row r="50" spans="1:5" x14ac:dyDescent="0.3">
      <c r="A50" s="1" t="s">
        <v>12</v>
      </c>
      <c r="B50" s="1" t="str">
        <f>VLOOKUP(A50,Main!$A$4:$B$17,2,0)</f>
        <v>SYLHET</v>
      </c>
      <c r="C50" s="1" t="s">
        <v>18</v>
      </c>
      <c r="D50" s="1" cm="1">
        <f t="array" ref="D50">_xlfn.XLOOKUP(Sheet2!C50,'Insights &amp; Interpretation'!$B$3:$B$16,'Insights &amp; Interpretation'!$A$3:A$16,0)</f>
        <v>14</v>
      </c>
      <c r="E50" s="1">
        <v>22</v>
      </c>
    </row>
    <row r="51" spans="1:5" x14ac:dyDescent="0.3">
      <c r="A51" s="1" t="s">
        <v>4</v>
      </c>
      <c r="B51" s="1" t="str">
        <f>VLOOKUP(A51,Main!$A$4:$B$17,2,0)</f>
        <v>DHAKA</v>
      </c>
      <c r="C51" s="1" t="s">
        <v>18</v>
      </c>
      <c r="D51" s="1" cm="1">
        <f t="array" ref="D51">_xlfn.XLOOKUP(Sheet2!C51,'Insights &amp; Interpretation'!$B$3:$B$16,'Insights &amp; Interpretation'!$A$3:A$16,0)</f>
        <v>14</v>
      </c>
      <c r="E51" s="1">
        <v>558</v>
      </c>
    </row>
    <row r="52" spans="1:5" x14ac:dyDescent="0.3">
      <c r="A52" s="1" t="s">
        <v>2</v>
      </c>
      <c r="B52" s="1" t="str">
        <f>VLOOKUP(A52,Main!$A$4:$B$17,2,0)</f>
        <v>CHITTAGONG</v>
      </c>
      <c r="C52" s="1" t="s">
        <v>18</v>
      </c>
      <c r="D52" s="1" cm="1">
        <f t="array" ref="D52">_xlfn.XLOOKUP(Sheet2!C52,'Insights &amp; Interpretation'!$B$3:$B$16,'Insights &amp; Interpretation'!$A$3:A$16,0)</f>
        <v>14</v>
      </c>
      <c r="E52" s="1">
        <v>151</v>
      </c>
    </row>
    <row r="53" spans="1:5" x14ac:dyDescent="0.3">
      <c r="A53" s="1" t="s">
        <v>13</v>
      </c>
      <c r="B53" s="1" t="str">
        <f>VLOOKUP(A53,Main!$A$4:$B$17,2,0)</f>
        <v>SYLHET</v>
      </c>
      <c r="C53" s="1" t="s">
        <v>18</v>
      </c>
      <c r="D53" s="1" cm="1">
        <f t="array" ref="D53">_xlfn.XLOOKUP(Sheet2!C53,'Insights &amp; Interpretation'!$B$3:$B$16,'Insights &amp; Interpretation'!$A$3:A$16,0)</f>
        <v>14</v>
      </c>
      <c r="E53" s="1">
        <v>70</v>
      </c>
    </row>
    <row r="54" spans="1:5" x14ac:dyDescent="0.3">
      <c r="A54" s="1" t="s">
        <v>6</v>
      </c>
      <c r="B54" s="1" t="str">
        <f>VLOOKUP(A54,Main!$A$4:$B$17,2,0)</f>
        <v>KHULNA</v>
      </c>
      <c r="C54" s="1" t="s">
        <v>18</v>
      </c>
      <c r="D54" s="1" cm="1">
        <f t="array" ref="D54">_xlfn.XLOOKUP(Sheet2!C54,'Insights &amp; Interpretation'!$B$3:$B$16,'Insights &amp; Interpretation'!$A$3:A$16,0)</f>
        <v>14</v>
      </c>
      <c r="E54" s="1">
        <v>151</v>
      </c>
    </row>
    <row r="55" spans="1:5" x14ac:dyDescent="0.3">
      <c r="A55" s="1" t="s">
        <v>0</v>
      </c>
      <c r="B55" s="1" t="str">
        <f>VLOOKUP(A55,Main!$A$4:$B$17,2,0)</f>
        <v>BARISHAL</v>
      </c>
      <c r="C55" s="1" t="s">
        <v>18</v>
      </c>
      <c r="D55" s="1" cm="1">
        <f t="array" ref="D55">_xlfn.XLOOKUP(Sheet2!C55,'Insights &amp; Interpretation'!$B$3:$B$16,'Insights &amp; Interpretation'!$A$3:A$16,0)</f>
        <v>14</v>
      </c>
      <c r="E55" s="1">
        <v>58</v>
      </c>
    </row>
    <row r="56" spans="1:5" x14ac:dyDescent="0.3">
      <c r="A56" s="1" t="s">
        <v>9</v>
      </c>
      <c r="B56" s="1" t="str">
        <f>VLOOKUP(A56,Main!$A$4:$B$17,2,0)</f>
        <v>RAJSHAHI</v>
      </c>
      <c r="C56" s="1" t="s">
        <v>18</v>
      </c>
      <c r="D56" s="1" cm="1">
        <f t="array" ref="D56">_xlfn.XLOOKUP(Sheet2!C56,'Insights &amp; Interpretation'!$B$3:$B$16,'Insights &amp; Interpretation'!$A$3:A$16,0)</f>
        <v>14</v>
      </c>
      <c r="E56" s="1">
        <v>159</v>
      </c>
    </row>
    <row r="57" spans="1:5" x14ac:dyDescent="0.3">
      <c r="A57" s="1" t="s">
        <v>10</v>
      </c>
      <c r="B57" s="1" t="str">
        <f>VLOOKUP(A57,Main!$A$4:$B$17,2,0)</f>
        <v>RANGPUR</v>
      </c>
      <c r="C57" s="1" t="s">
        <v>18</v>
      </c>
      <c r="D57" s="1" cm="1">
        <f t="array" ref="D57">_xlfn.XLOOKUP(Sheet2!C57,'Insights &amp; Interpretation'!$B$3:$B$16,'Insights &amp; Interpretation'!$A$3:A$16,0)</f>
        <v>14</v>
      </c>
      <c r="E57" s="1">
        <v>44</v>
      </c>
    </row>
    <row r="58" spans="1:5" x14ac:dyDescent="0.3">
      <c r="A58" s="1" t="s">
        <v>8</v>
      </c>
      <c r="B58" s="1" t="str">
        <f>VLOOKUP(A58,Main!$A$4:$B$17,2,0)</f>
        <v>RAILWAY</v>
      </c>
      <c r="C58" s="1" t="s">
        <v>18</v>
      </c>
      <c r="D58" s="1" cm="1">
        <f t="array" ref="D58">_xlfn.XLOOKUP(Sheet2!C58,'Insights &amp; Interpretation'!$B$3:$B$16,'Insights &amp; Interpretation'!$A$3:A$16,0)</f>
        <v>14</v>
      </c>
      <c r="E58" s="1">
        <v>2</v>
      </c>
    </row>
    <row r="59" spans="1:5" x14ac:dyDescent="0.3">
      <c r="A59" s="1" t="s">
        <v>5</v>
      </c>
      <c r="B59" s="1" t="str">
        <f>VLOOKUP(A59,Main!$A$4:$B$17,2,0)</f>
        <v>DHAKA</v>
      </c>
      <c r="C59" s="1" t="s">
        <v>19</v>
      </c>
      <c r="D59" s="1" cm="1">
        <f t="array" ref="D59">_xlfn.XLOOKUP(Sheet2!C59,'Insights &amp; Interpretation'!$B$3:$B$16,'Insights &amp; Interpretation'!$A$3:A$16,0)</f>
        <v>10</v>
      </c>
      <c r="E59" s="1">
        <v>26</v>
      </c>
    </row>
    <row r="60" spans="1:5" x14ac:dyDescent="0.3">
      <c r="A60" s="1" t="s">
        <v>3</v>
      </c>
      <c r="B60" s="1" t="str">
        <f>VLOOKUP(A60,Main!$A$4:$B$17,2,0)</f>
        <v>CHITTAGONG</v>
      </c>
      <c r="C60" s="1" t="s">
        <v>19</v>
      </c>
      <c r="D60" s="1" cm="1">
        <f t="array" ref="D60">_xlfn.XLOOKUP(Sheet2!C60,'Insights &amp; Interpretation'!$B$3:$B$16,'Insights &amp; Interpretation'!$A$3:A$16,0)</f>
        <v>10</v>
      </c>
      <c r="E60" s="1">
        <v>25</v>
      </c>
    </row>
    <row r="61" spans="1:5" x14ac:dyDescent="0.3">
      <c r="A61" s="1" t="s">
        <v>7</v>
      </c>
      <c r="B61" s="1" t="str">
        <f>VLOOKUP(A61,Main!$A$4:$B$17,2,0)</f>
        <v>KHULNA</v>
      </c>
      <c r="C61" s="1" t="s">
        <v>19</v>
      </c>
      <c r="D61" s="1" cm="1">
        <f t="array" ref="D61">_xlfn.XLOOKUP(Sheet2!C61,'Insights &amp; Interpretation'!$B$3:$B$16,'Insights &amp; Interpretation'!$A$3:A$16,0)</f>
        <v>10</v>
      </c>
      <c r="E61" s="1">
        <v>0</v>
      </c>
    </row>
    <row r="62" spans="1:5" x14ac:dyDescent="0.3">
      <c r="A62" s="1" t="s">
        <v>11</v>
      </c>
      <c r="B62" s="1" t="str">
        <f>VLOOKUP(A62,Main!$A$4:$B$17,2,0)</f>
        <v>RAJSHAHI</v>
      </c>
      <c r="C62" s="1" t="s">
        <v>19</v>
      </c>
      <c r="D62" s="1" cm="1">
        <f t="array" ref="D62">_xlfn.XLOOKUP(Sheet2!C62,'Insights &amp; Interpretation'!$B$3:$B$16,'Insights &amp; Interpretation'!$A$3:A$16,0)</f>
        <v>10</v>
      </c>
      <c r="E62" s="1">
        <v>4</v>
      </c>
    </row>
    <row r="63" spans="1:5" x14ac:dyDescent="0.3">
      <c r="A63" s="1" t="s">
        <v>1</v>
      </c>
      <c r="B63" s="1" t="str">
        <f>VLOOKUP(A63,Main!$A$4:$B$17,2,0)</f>
        <v>BARISHAL</v>
      </c>
      <c r="C63" s="1" t="s">
        <v>19</v>
      </c>
      <c r="D63" s="1" cm="1">
        <f t="array" ref="D63">_xlfn.XLOOKUP(Sheet2!C63,'Insights &amp; Interpretation'!$B$3:$B$16,'Insights &amp; Interpretation'!$A$3:A$16,0)</f>
        <v>10</v>
      </c>
      <c r="E63" s="1">
        <v>0</v>
      </c>
    </row>
    <row r="64" spans="1:5" x14ac:dyDescent="0.3">
      <c r="A64" s="1" t="s">
        <v>12</v>
      </c>
      <c r="B64" s="1" t="str">
        <f>VLOOKUP(A64,Main!$A$4:$B$17,2,0)</f>
        <v>SYLHET</v>
      </c>
      <c r="C64" s="1" t="s">
        <v>19</v>
      </c>
      <c r="D64" s="1" cm="1">
        <f t="array" ref="D64">_xlfn.XLOOKUP(Sheet2!C64,'Insights &amp; Interpretation'!$B$3:$B$16,'Insights &amp; Interpretation'!$A$3:A$16,0)</f>
        <v>10</v>
      </c>
      <c r="E64" s="1">
        <v>4</v>
      </c>
    </row>
    <row r="65" spans="1:5" x14ac:dyDescent="0.3">
      <c r="A65" s="1" t="s">
        <v>4</v>
      </c>
      <c r="B65" s="1" t="str">
        <f>VLOOKUP(A65,Main!$A$4:$B$17,2,0)</f>
        <v>DHAKA</v>
      </c>
      <c r="C65" s="1" t="s">
        <v>19</v>
      </c>
      <c r="D65" s="1" cm="1">
        <f t="array" ref="D65">_xlfn.XLOOKUP(Sheet2!C65,'Insights &amp; Interpretation'!$B$3:$B$16,'Insights &amp; Interpretation'!$A$3:A$16,0)</f>
        <v>10</v>
      </c>
      <c r="E65" s="1">
        <v>0</v>
      </c>
    </row>
    <row r="66" spans="1:5" x14ac:dyDescent="0.3">
      <c r="A66" s="1" t="s">
        <v>2</v>
      </c>
      <c r="B66" s="1" t="str">
        <f>VLOOKUP(A66,Main!$A$4:$B$17,2,0)</f>
        <v>CHITTAGONG</v>
      </c>
      <c r="C66" s="1" t="s">
        <v>19</v>
      </c>
      <c r="D66" s="1" cm="1">
        <f t="array" ref="D66">_xlfn.XLOOKUP(Sheet2!C66,'Insights &amp; Interpretation'!$B$3:$B$16,'Insights &amp; Interpretation'!$A$3:A$16,0)</f>
        <v>10</v>
      </c>
      <c r="E66" s="1">
        <v>28</v>
      </c>
    </row>
    <row r="67" spans="1:5" x14ac:dyDescent="0.3">
      <c r="A67" s="1" t="s">
        <v>13</v>
      </c>
      <c r="B67" s="1" t="str">
        <f>VLOOKUP(A67,Main!$A$4:$B$17,2,0)</f>
        <v>SYLHET</v>
      </c>
      <c r="C67" s="1" t="s">
        <v>19</v>
      </c>
      <c r="D67" s="1" cm="1">
        <f t="array" ref="D67">_xlfn.XLOOKUP(Sheet2!C67,'Insights &amp; Interpretation'!$B$3:$B$16,'Insights &amp; Interpretation'!$A$3:A$16,0)</f>
        <v>10</v>
      </c>
      <c r="E67" s="1">
        <v>3</v>
      </c>
    </row>
    <row r="68" spans="1:5" x14ac:dyDescent="0.3">
      <c r="A68" s="1" t="s">
        <v>6</v>
      </c>
      <c r="B68" s="1" t="str">
        <f>VLOOKUP(A68,Main!$A$4:$B$17,2,0)</f>
        <v>KHULNA</v>
      </c>
      <c r="C68" s="1" t="s">
        <v>19</v>
      </c>
      <c r="D68" s="1" cm="1">
        <f t="array" ref="D68">_xlfn.XLOOKUP(Sheet2!C68,'Insights &amp; Interpretation'!$B$3:$B$16,'Insights &amp; Interpretation'!$A$3:A$16,0)</f>
        <v>10</v>
      </c>
      <c r="E68" s="1">
        <v>2</v>
      </c>
    </row>
    <row r="69" spans="1:5" x14ac:dyDescent="0.3">
      <c r="A69" s="1" t="s">
        <v>0</v>
      </c>
      <c r="B69" s="1" t="str">
        <f>VLOOKUP(A69,Main!$A$4:$B$17,2,0)</f>
        <v>BARISHAL</v>
      </c>
      <c r="C69" s="1" t="s">
        <v>19</v>
      </c>
      <c r="D69" s="1" cm="1">
        <f t="array" ref="D69">_xlfn.XLOOKUP(Sheet2!C69,'Insights &amp; Interpretation'!$B$3:$B$16,'Insights &amp; Interpretation'!$A$3:A$16,0)</f>
        <v>10</v>
      </c>
      <c r="E69" s="1">
        <v>1</v>
      </c>
    </row>
    <row r="70" spans="1:5" x14ac:dyDescent="0.3">
      <c r="A70" s="1" t="s">
        <v>9</v>
      </c>
      <c r="B70" s="1" t="str">
        <f>VLOOKUP(A70,Main!$A$4:$B$17,2,0)</f>
        <v>RAJSHAHI</v>
      </c>
      <c r="C70" s="1" t="s">
        <v>19</v>
      </c>
      <c r="D70" s="1" cm="1">
        <f t="array" ref="D70">_xlfn.XLOOKUP(Sheet2!C70,'Insights &amp; Interpretation'!$B$3:$B$16,'Insights &amp; Interpretation'!$A$3:A$16,0)</f>
        <v>10</v>
      </c>
      <c r="E70" s="1">
        <v>0</v>
      </c>
    </row>
    <row r="71" spans="1:5" x14ac:dyDescent="0.3">
      <c r="A71" s="1" t="s">
        <v>10</v>
      </c>
      <c r="B71" s="1" t="str">
        <f>VLOOKUP(A71,Main!$A$4:$B$17,2,0)</f>
        <v>RANGPUR</v>
      </c>
      <c r="C71" s="1" t="s">
        <v>19</v>
      </c>
      <c r="D71" s="1" cm="1">
        <f t="array" ref="D71">_xlfn.XLOOKUP(Sheet2!C71,'Insights &amp; Interpretation'!$B$3:$B$16,'Insights &amp; Interpretation'!$A$3:A$16,0)</f>
        <v>10</v>
      </c>
      <c r="E71" s="1">
        <v>0</v>
      </c>
    </row>
    <row r="72" spans="1:5" x14ac:dyDescent="0.3">
      <c r="A72" s="1" t="s">
        <v>8</v>
      </c>
      <c r="B72" s="1" t="str">
        <f>VLOOKUP(A72,Main!$A$4:$B$17,2,0)</f>
        <v>RAILWAY</v>
      </c>
      <c r="C72" s="1" t="s">
        <v>19</v>
      </c>
      <c r="D72" s="1" cm="1">
        <f t="array" ref="D72">_xlfn.XLOOKUP(Sheet2!C72,'Insights &amp; Interpretation'!$B$3:$B$16,'Insights &amp; Interpretation'!$A$3:A$16,0)</f>
        <v>10</v>
      </c>
      <c r="E72" s="1">
        <v>0</v>
      </c>
    </row>
    <row r="73" spans="1:5" x14ac:dyDescent="0.3">
      <c r="A73" s="1" t="s">
        <v>5</v>
      </c>
      <c r="B73" s="1" t="str">
        <f>VLOOKUP(A73,Main!$A$4:$B$17,2,0)</f>
        <v>DHAKA</v>
      </c>
      <c r="C73" s="1" t="s">
        <v>20</v>
      </c>
      <c r="D73" s="1" cm="1">
        <f t="array" ref="D73">_xlfn.XLOOKUP(Sheet2!C73,'Insights &amp; Interpretation'!$B$3:$B$16,'Insights &amp; Interpretation'!$A$3:A$16,0)</f>
        <v>3</v>
      </c>
      <c r="E73" s="1">
        <v>1550</v>
      </c>
    </row>
    <row r="74" spans="1:5" x14ac:dyDescent="0.3">
      <c r="A74" s="1" t="s">
        <v>3</v>
      </c>
      <c r="B74" s="1" t="str">
        <f>VLOOKUP(A74,Main!$A$4:$B$17,2,0)</f>
        <v>CHITTAGONG</v>
      </c>
      <c r="C74" s="1" t="s">
        <v>20</v>
      </c>
      <c r="D74" s="1" cm="1">
        <f t="array" ref="D74">_xlfn.XLOOKUP(Sheet2!C74,'Insights &amp; Interpretation'!$B$3:$B$16,'Insights &amp; Interpretation'!$A$3:A$16,0)</f>
        <v>3</v>
      </c>
      <c r="E74" s="1">
        <v>357</v>
      </c>
    </row>
    <row r="75" spans="1:5" x14ac:dyDescent="0.3">
      <c r="A75" s="1" t="s">
        <v>7</v>
      </c>
      <c r="B75" s="1" t="str">
        <f>VLOOKUP(A75,Main!$A$4:$B$17,2,0)</f>
        <v>KHULNA</v>
      </c>
      <c r="C75" s="1" t="s">
        <v>20</v>
      </c>
      <c r="D75" s="1" cm="1">
        <f t="array" ref="D75">_xlfn.XLOOKUP(Sheet2!C75,'Insights &amp; Interpretation'!$B$3:$B$16,'Insights &amp; Interpretation'!$A$3:A$16,0)</f>
        <v>3</v>
      </c>
      <c r="E75" s="1">
        <v>146</v>
      </c>
    </row>
    <row r="76" spans="1:5" x14ac:dyDescent="0.3">
      <c r="A76" s="1" t="s">
        <v>11</v>
      </c>
      <c r="B76" s="1" t="str">
        <f>VLOOKUP(A76,Main!$A$4:$B$17,2,0)</f>
        <v>RAJSHAHI</v>
      </c>
      <c r="C76" s="1" t="s">
        <v>20</v>
      </c>
      <c r="D76" s="1" cm="1">
        <f t="array" ref="D76">_xlfn.XLOOKUP(Sheet2!C76,'Insights &amp; Interpretation'!$B$3:$B$16,'Insights &amp; Interpretation'!$A$3:A$16,0)</f>
        <v>3</v>
      </c>
      <c r="E76" s="1">
        <v>131</v>
      </c>
    </row>
    <row r="77" spans="1:5" x14ac:dyDescent="0.3">
      <c r="A77" s="1" t="s">
        <v>1</v>
      </c>
      <c r="B77" s="1" t="str">
        <f>VLOOKUP(A77,Main!$A$4:$B$17,2,0)</f>
        <v>BARISHAL</v>
      </c>
      <c r="C77" s="1" t="s">
        <v>20</v>
      </c>
      <c r="D77" s="1" cm="1">
        <f t="array" ref="D77">_xlfn.XLOOKUP(Sheet2!C77,'Insights &amp; Interpretation'!$B$3:$B$16,'Insights &amp; Interpretation'!$A$3:A$16,0)</f>
        <v>3</v>
      </c>
      <c r="E77" s="1">
        <v>110</v>
      </c>
    </row>
    <row r="78" spans="1:5" x14ac:dyDescent="0.3">
      <c r="A78" s="1" t="s">
        <v>12</v>
      </c>
      <c r="B78" s="1" t="str">
        <f>VLOOKUP(A78,Main!$A$4:$B$17,2,0)</f>
        <v>SYLHET</v>
      </c>
      <c r="C78" s="1" t="s">
        <v>20</v>
      </c>
      <c r="D78" s="1" cm="1">
        <f t="array" ref="D78">_xlfn.XLOOKUP(Sheet2!C78,'Insights &amp; Interpretation'!$B$3:$B$16,'Insights &amp; Interpretation'!$A$3:A$16,0)</f>
        <v>3</v>
      </c>
      <c r="E78" s="1">
        <v>139</v>
      </c>
    </row>
    <row r="79" spans="1:5" x14ac:dyDescent="0.3">
      <c r="A79" s="1" t="s">
        <v>4</v>
      </c>
      <c r="B79" s="1" t="str">
        <f>VLOOKUP(A79,Main!$A$4:$B$17,2,0)</f>
        <v>DHAKA</v>
      </c>
      <c r="C79" s="1" t="s">
        <v>20</v>
      </c>
      <c r="D79" s="1" cm="1">
        <f t="array" ref="D79">_xlfn.XLOOKUP(Sheet2!C79,'Insights &amp; Interpretation'!$B$3:$B$16,'Insights &amp; Interpretation'!$A$3:A$16,0)</f>
        <v>3</v>
      </c>
      <c r="E79" s="1">
        <v>5052</v>
      </c>
    </row>
    <row r="80" spans="1:5" x14ac:dyDescent="0.3">
      <c r="A80" s="1" t="s">
        <v>2</v>
      </c>
      <c r="B80" s="1" t="str">
        <f>VLOOKUP(A80,Main!$A$4:$B$17,2,0)</f>
        <v>CHITTAGONG</v>
      </c>
      <c r="C80" s="1" t="s">
        <v>20</v>
      </c>
      <c r="D80" s="1" cm="1">
        <f t="array" ref="D80">_xlfn.XLOOKUP(Sheet2!C80,'Insights &amp; Interpretation'!$B$3:$B$16,'Insights &amp; Interpretation'!$A$3:A$16,0)</f>
        <v>3</v>
      </c>
      <c r="E80" s="1">
        <v>3886</v>
      </c>
    </row>
    <row r="81" spans="1:5" x14ac:dyDescent="0.3">
      <c r="A81" s="1" t="s">
        <v>13</v>
      </c>
      <c r="B81" s="1" t="str">
        <f>VLOOKUP(A81,Main!$A$4:$B$17,2,0)</f>
        <v>SYLHET</v>
      </c>
      <c r="C81" s="1" t="s">
        <v>20</v>
      </c>
      <c r="D81" s="1" cm="1">
        <f t="array" ref="D81">_xlfn.XLOOKUP(Sheet2!C81,'Insights &amp; Interpretation'!$B$3:$B$16,'Insights &amp; Interpretation'!$A$3:A$16,0)</f>
        <v>3</v>
      </c>
      <c r="E81" s="1">
        <v>943</v>
      </c>
    </row>
    <row r="82" spans="1:5" x14ac:dyDescent="0.3">
      <c r="A82" s="1" t="s">
        <v>6</v>
      </c>
      <c r="B82" s="1" t="str">
        <f>VLOOKUP(A82,Main!$A$4:$B$17,2,0)</f>
        <v>KHULNA</v>
      </c>
      <c r="C82" s="1" t="s">
        <v>20</v>
      </c>
      <c r="D82" s="1" cm="1">
        <f t="array" ref="D82">_xlfn.XLOOKUP(Sheet2!C82,'Insights &amp; Interpretation'!$B$3:$B$16,'Insights &amp; Interpretation'!$A$3:A$16,0)</f>
        <v>3</v>
      </c>
      <c r="E82" s="1">
        <v>3478</v>
      </c>
    </row>
    <row r="83" spans="1:5" x14ac:dyDescent="0.3">
      <c r="A83" s="1" t="s">
        <v>0</v>
      </c>
      <c r="B83" s="1" t="str">
        <f>VLOOKUP(A83,Main!$A$4:$B$17,2,0)</f>
        <v>BARISHAL</v>
      </c>
      <c r="C83" s="1" t="s">
        <v>20</v>
      </c>
      <c r="D83" s="1" cm="1">
        <f t="array" ref="D83">_xlfn.XLOOKUP(Sheet2!C83,'Insights &amp; Interpretation'!$B$3:$B$16,'Insights &amp; Interpretation'!$A$3:A$16,0)</f>
        <v>3</v>
      </c>
      <c r="E83" s="1">
        <v>1497</v>
      </c>
    </row>
    <row r="84" spans="1:5" x14ac:dyDescent="0.3">
      <c r="A84" s="1" t="s">
        <v>9</v>
      </c>
      <c r="B84" s="1" t="str">
        <f>VLOOKUP(A84,Main!$A$4:$B$17,2,0)</f>
        <v>RAJSHAHI</v>
      </c>
      <c r="C84" s="1" t="s">
        <v>20</v>
      </c>
      <c r="D84" s="1" cm="1">
        <f t="array" ref="D84">_xlfn.XLOOKUP(Sheet2!C84,'Insights &amp; Interpretation'!$B$3:$B$16,'Insights &amp; Interpretation'!$A$3:A$16,0)</f>
        <v>3</v>
      </c>
      <c r="E84" s="1">
        <v>2339</v>
      </c>
    </row>
    <row r="85" spans="1:5" x14ac:dyDescent="0.3">
      <c r="A85" s="1" t="s">
        <v>10</v>
      </c>
      <c r="B85" s="1" t="str">
        <f>VLOOKUP(A85,Main!$A$4:$B$17,2,0)</f>
        <v>RANGPUR</v>
      </c>
      <c r="C85" s="1" t="s">
        <v>20</v>
      </c>
      <c r="D85" s="1" cm="1">
        <f t="array" ref="D85">_xlfn.XLOOKUP(Sheet2!C85,'Insights &amp; Interpretation'!$B$3:$B$16,'Insights &amp; Interpretation'!$A$3:A$16,0)</f>
        <v>3</v>
      </c>
      <c r="E85" s="1">
        <v>2587</v>
      </c>
    </row>
    <row r="86" spans="1:5" x14ac:dyDescent="0.3">
      <c r="A86" s="1" t="s">
        <v>8</v>
      </c>
      <c r="B86" s="1" t="str">
        <f>VLOOKUP(A86,Main!$A$4:$B$17,2,0)</f>
        <v>RAILWAY</v>
      </c>
      <c r="C86" s="1" t="s">
        <v>20</v>
      </c>
      <c r="D86" s="1" cm="1">
        <f t="array" ref="D86">_xlfn.XLOOKUP(Sheet2!C86,'Insights &amp; Interpretation'!$B$3:$B$16,'Insights &amp; Interpretation'!$A$3:A$16,0)</f>
        <v>3</v>
      </c>
      <c r="E86" s="1">
        <v>5</v>
      </c>
    </row>
    <row r="87" spans="1:5" x14ac:dyDescent="0.3">
      <c r="A87" s="1" t="s">
        <v>5</v>
      </c>
      <c r="B87" s="1" t="str">
        <f>VLOOKUP(A87,Main!$A$4:$B$17,2,0)</f>
        <v>DHAKA</v>
      </c>
      <c r="C87" s="1" t="s">
        <v>21</v>
      </c>
      <c r="D87" s="1" cm="1">
        <f t="array" ref="D87">_xlfn.XLOOKUP(Sheet2!C87,'Insights &amp; Interpretation'!$B$3:$B$16,'Insights &amp; Interpretation'!$A$3:A$16,0)</f>
        <v>4</v>
      </c>
      <c r="E87" s="1">
        <v>146</v>
      </c>
    </row>
    <row r="88" spans="1:5" x14ac:dyDescent="0.3">
      <c r="A88" s="1" t="s">
        <v>3</v>
      </c>
      <c r="B88" s="1" t="str">
        <f>VLOOKUP(A88,Main!$A$4:$B$17,2,0)</f>
        <v>CHITTAGONG</v>
      </c>
      <c r="C88" s="1" t="s">
        <v>21</v>
      </c>
      <c r="D88" s="1" cm="1">
        <f t="array" ref="D88">_xlfn.XLOOKUP(Sheet2!C88,'Insights &amp; Interpretation'!$B$3:$B$16,'Insights &amp; Interpretation'!$A$3:A$16,0)</f>
        <v>4</v>
      </c>
      <c r="E88" s="1">
        <v>51</v>
      </c>
    </row>
    <row r="89" spans="1:5" x14ac:dyDescent="0.3">
      <c r="A89" s="1" t="s">
        <v>7</v>
      </c>
      <c r="B89" s="1" t="str">
        <f>VLOOKUP(A89,Main!$A$4:$B$17,2,0)</f>
        <v>KHULNA</v>
      </c>
      <c r="C89" s="1" t="s">
        <v>21</v>
      </c>
      <c r="D89" s="1" cm="1">
        <f t="array" ref="D89">_xlfn.XLOOKUP(Sheet2!C89,'Insights &amp; Interpretation'!$B$3:$B$16,'Insights &amp; Interpretation'!$A$3:A$16,0)</f>
        <v>4</v>
      </c>
      <c r="E89" s="1">
        <v>7</v>
      </c>
    </row>
    <row r="90" spans="1:5" x14ac:dyDescent="0.3">
      <c r="A90" s="1" t="s">
        <v>11</v>
      </c>
      <c r="B90" s="1" t="str">
        <f>VLOOKUP(A90,Main!$A$4:$B$17,2,0)</f>
        <v>RAJSHAHI</v>
      </c>
      <c r="C90" s="1" t="s">
        <v>21</v>
      </c>
      <c r="D90" s="1" cm="1">
        <f t="array" ref="D90">_xlfn.XLOOKUP(Sheet2!C90,'Insights &amp; Interpretation'!$B$3:$B$16,'Insights &amp; Interpretation'!$A$3:A$16,0)</f>
        <v>4</v>
      </c>
      <c r="E90" s="1">
        <v>8</v>
      </c>
    </row>
    <row r="91" spans="1:5" x14ac:dyDescent="0.3">
      <c r="A91" s="1" t="s">
        <v>1</v>
      </c>
      <c r="B91" s="1" t="str">
        <f>VLOOKUP(A91,Main!$A$4:$B$17,2,0)</f>
        <v>BARISHAL</v>
      </c>
      <c r="C91" s="1" t="s">
        <v>21</v>
      </c>
      <c r="D91" s="1" cm="1">
        <f t="array" ref="D91">_xlfn.XLOOKUP(Sheet2!C91,'Insights &amp; Interpretation'!$B$3:$B$16,'Insights &amp; Interpretation'!$A$3:A$16,0)</f>
        <v>4</v>
      </c>
      <c r="E91" s="1">
        <v>4</v>
      </c>
    </row>
    <row r="92" spans="1:5" x14ac:dyDescent="0.3">
      <c r="A92" s="1" t="s">
        <v>12</v>
      </c>
      <c r="B92" s="1" t="str">
        <f>VLOOKUP(A92,Main!$A$4:$B$17,2,0)</f>
        <v>SYLHET</v>
      </c>
      <c r="C92" s="1" t="s">
        <v>21</v>
      </c>
      <c r="D92" s="1" cm="1">
        <f t="array" ref="D92">_xlfn.XLOOKUP(Sheet2!C92,'Insights &amp; Interpretation'!$B$3:$B$16,'Insights &amp; Interpretation'!$A$3:A$16,0)</f>
        <v>4</v>
      </c>
      <c r="E92" s="1">
        <v>10</v>
      </c>
    </row>
    <row r="93" spans="1:5" x14ac:dyDescent="0.3">
      <c r="A93" s="1" t="s">
        <v>4</v>
      </c>
      <c r="B93" s="1" t="str">
        <f>VLOOKUP(A93,Main!$A$4:$B$17,2,0)</f>
        <v>DHAKA</v>
      </c>
      <c r="C93" s="1" t="s">
        <v>21</v>
      </c>
      <c r="D93" s="1" cm="1">
        <f t="array" ref="D93">_xlfn.XLOOKUP(Sheet2!C93,'Insights &amp; Interpretation'!$B$3:$B$16,'Insights &amp; Interpretation'!$A$3:A$16,0)</f>
        <v>4</v>
      </c>
      <c r="E93" s="1">
        <v>205</v>
      </c>
    </row>
    <row r="94" spans="1:5" x14ac:dyDescent="0.3">
      <c r="A94" s="1" t="s">
        <v>2</v>
      </c>
      <c r="B94" s="1" t="str">
        <f>VLOOKUP(A94,Main!$A$4:$B$17,2,0)</f>
        <v>CHITTAGONG</v>
      </c>
      <c r="C94" s="1" t="s">
        <v>21</v>
      </c>
      <c r="D94" s="1" cm="1">
        <f t="array" ref="D94">_xlfn.XLOOKUP(Sheet2!C94,'Insights &amp; Interpretation'!$B$3:$B$16,'Insights &amp; Interpretation'!$A$3:A$16,0)</f>
        <v>4</v>
      </c>
      <c r="E94" s="1">
        <v>98</v>
      </c>
    </row>
    <row r="95" spans="1:5" x14ac:dyDescent="0.3">
      <c r="A95" s="1" t="s">
        <v>13</v>
      </c>
      <c r="B95" s="1" t="str">
        <f>VLOOKUP(A95,Main!$A$4:$B$17,2,0)</f>
        <v>SYLHET</v>
      </c>
      <c r="C95" s="1" t="s">
        <v>21</v>
      </c>
      <c r="D95" s="1" cm="1">
        <f t="array" ref="D95">_xlfn.XLOOKUP(Sheet2!C95,'Insights &amp; Interpretation'!$B$3:$B$16,'Insights &amp; Interpretation'!$A$3:A$16,0)</f>
        <v>4</v>
      </c>
      <c r="E95" s="1">
        <v>33</v>
      </c>
    </row>
    <row r="96" spans="1:5" x14ac:dyDescent="0.3">
      <c r="A96" s="1" t="s">
        <v>6</v>
      </c>
      <c r="B96" s="1" t="str">
        <f>VLOOKUP(A96,Main!$A$4:$B$17,2,0)</f>
        <v>KHULNA</v>
      </c>
      <c r="C96" s="1" t="s">
        <v>21</v>
      </c>
      <c r="D96" s="1" cm="1">
        <f t="array" ref="D96">_xlfn.XLOOKUP(Sheet2!C96,'Insights &amp; Interpretation'!$B$3:$B$16,'Insights &amp; Interpretation'!$A$3:A$16,0)</f>
        <v>4</v>
      </c>
      <c r="E96" s="1">
        <v>79</v>
      </c>
    </row>
    <row r="97" spans="1:5" x14ac:dyDescent="0.3">
      <c r="A97" s="1" t="s">
        <v>0</v>
      </c>
      <c r="B97" s="1" t="str">
        <f>VLOOKUP(A97,Main!$A$4:$B$17,2,0)</f>
        <v>BARISHAL</v>
      </c>
      <c r="C97" s="1" t="s">
        <v>21</v>
      </c>
      <c r="D97" s="1" cm="1">
        <f t="array" ref="D97">_xlfn.XLOOKUP(Sheet2!C97,'Insights &amp; Interpretation'!$B$3:$B$16,'Insights &amp; Interpretation'!$A$3:A$16,0)</f>
        <v>4</v>
      </c>
      <c r="E97" s="1">
        <v>53</v>
      </c>
    </row>
    <row r="98" spans="1:5" x14ac:dyDescent="0.3">
      <c r="A98" s="1" t="s">
        <v>9</v>
      </c>
      <c r="B98" s="1" t="str">
        <f>VLOOKUP(A98,Main!$A$4:$B$17,2,0)</f>
        <v>RAJSHAHI</v>
      </c>
      <c r="C98" s="1" t="s">
        <v>21</v>
      </c>
      <c r="D98" s="1" cm="1">
        <f t="array" ref="D98">_xlfn.XLOOKUP(Sheet2!C98,'Insights &amp; Interpretation'!$B$3:$B$16,'Insights &amp; Interpretation'!$A$3:A$16,0)</f>
        <v>4</v>
      </c>
      <c r="E98" s="1">
        <v>70</v>
      </c>
    </row>
    <row r="99" spans="1:5" x14ac:dyDescent="0.3">
      <c r="A99" s="1" t="s">
        <v>10</v>
      </c>
      <c r="B99" s="1" t="str">
        <f>VLOOKUP(A99,Main!$A$4:$B$17,2,0)</f>
        <v>RANGPUR</v>
      </c>
      <c r="C99" s="1" t="s">
        <v>21</v>
      </c>
      <c r="D99" s="1" cm="1">
        <f t="array" ref="D99">_xlfn.XLOOKUP(Sheet2!C99,'Insights &amp; Interpretation'!$B$3:$B$16,'Insights &amp; Interpretation'!$A$3:A$16,0)</f>
        <v>4</v>
      </c>
      <c r="E99" s="1">
        <v>34</v>
      </c>
    </row>
    <row r="100" spans="1:5" x14ac:dyDescent="0.3">
      <c r="A100" s="1" t="s">
        <v>8</v>
      </c>
      <c r="B100" s="1" t="str">
        <f>VLOOKUP(A100,Main!$A$4:$B$17,2,0)</f>
        <v>RAILWAY</v>
      </c>
      <c r="C100" s="1" t="s">
        <v>21</v>
      </c>
      <c r="D100" s="1" cm="1">
        <f t="array" ref="D100">_xlfn.XLOOKUP(Sheet2!C100,'Insights &amp; Interpretation'!$B$3:$B$16,'Insights &amp; Interpretation'!$A$3:A$16,0)</f>
        <v>4</v>
      </c>
      <c r="E100" s="1">
        <v>8</v>
      </c>
    </row>
    <row r="101" spans="1:5" x14ac:dyDescent="0.3">
      <c r="A101" s="1" t="s">
        <v>5</v>
      </c>
      <c r="B101" s="1" t="str">
        <f>VLOOKUP(A101,Main!$A$4:$B$17,2,0)</f>
        <v>DHAKA</v>
      </c>
      <c r="C101" s="1" t="s">
        <v>22</v>
      </c>
      <c r="D101" s="1" cm="1">
        <f t="array" ref="D101">_xlfn.XLOOKUP(Sheet2!C101,'Insights &amp; Interpretation'!$B$3:$B$16,'Insights &amp; Interpretation'!$A$3:A$16,0)</f>
        <v>11</v>
      </c>
      <c r="E101" s="1">
        <v>118</v>
      </c>
    </row>
    <row r="102" spans="1:5" x14ac:dyDescent="0.3">
      <c r="A102" s="1" t="s">
        <v>3</v>
      </c>
      <c r="B102" s="1" t="str">
        <f>VLOOKUP(A102,Main!$A$4:$B$17,2,0)</f>
        <v>CHITTAGONG</v>
      </c>
      <c r="C102" s="1" t="s">
        <v>22</v>
      </c>
      <c r="D102" s="1" cm="1">
        <f t="array" ref="D102">_xlfn.XLOOKUP(Sheet2!C102,'Insights &amp; Interpretation'!$B$3:$B$16,'Insights &amp; Interpretation'!$A$3:A$16,0)</f>
        <v>11</v>
      </c>
      <c r="E102" s="1">
        <v>30</v>
      </c>
    </row>
    <row r="103" spans="1:5" x14ac:dyDescent="0.3">
      <c r="A103" s="1" t="s">
        <v>7</v>
      </c>
      <c r="B103" s="1" t="str">
        <f>VLOOKUP(A103,Main!$A$4:$B$17,2,0)</f>
        <v>KHULNA</v>
      </c>
      <c r="C103" s="1" t="s">
        <v>22</v>
      </c>
      <c r="D103" s="1" cm="1">
        <f t="array" ref="D103">_xlfn.XLOOKUP(Sheet2!C103,'Insights &amp; Interpretation'!$B$3:$B$16,'Insights &amp; Interpretation'!$A$3:A$16,0)</f>
        <v>11</v>
      </c>
      <c r="E103" s="1">
        <v>3</v>
      </c>
    </row>
    <row r="104" spans="1:5" x14ac:dyDescent="0.3">
      <c r="A104" s="1" t="s">
        <v>11</v>
      </c>
      <c r="B104" s="1" t="str">
        <f>VLOOKUP(A104,Main!$A$4:$B$17,2,0)</f>
        <v>RAJSHAHI</v>
      </c>
      <c r="C104" s="1" t="s">
        <v>22</v>
      </c>
      <c r="D104" s="1" cm="1">
        <f t="array" ref="D104">_xlfn.XLOOKUP(Sheet2!C104,'Insights &amp; Interpretation'!$B$3:$B$16,'Insights &amp; Interpretation'!$A$3:A$16,0)</f>
        <v>11</v>
      </c>
      <c r="E104" s="1">
        <v>18</v>
      </c>
    </row>
    <row r="105" spans="1:5" x14ac:dyDescent="0.3">
      <c r="A105" s="1" t="s">
        <v>1</v>
      </c>
      <c r="B105" s="1" t="str">
        <f>VLOOKUP(A105,Main!$A$4:$B$17,2,0)</f>
        <v>BARISHAL</v>
      </c>
      <c r="C105" s="1" t="s">
        <v>22</v>
      </c>
      <c r="D105" s="1" cm="1">
        <f t="array" ref="D105">_xlfn.XLOOKUP(Sheet2!C105,'Insights &amp; Interpretation'!$B$3:$B$16,'Insights &amp; Interpretation'!$A$3:A$16,0)</f>
        <v>11</v>
      </c>
      <c r="E105" s="1">
        <v>8</v>
      </c>
    </row>
    <row r="106" spans="1:5" x14ac:dyDescent="0.3">
      <c r="A106" s="1" t="s">
        <v>12</v>
      </c>
      <c r="B106" s="1" t="str">
        <f>VLOOKUP(A106,Main!$A$4:$B$17,2,0)</f>
        <v>SYLHET</v>
      </c>
      <c r="C106" s="1" t="s">
        <v>22</v>
      </c>
      <c r="D106" s="1" cm="1">
        <f t="array" ref="D106">_xlfn.XLOOKUP(Sheet2!C106,'Insights &amp; Interpretation'!$B$3:$B$16,'Insights &amp; Interpretation'!$A$3:A$16,0)</f>
        <v>11</v>
      </c>
      <c r="E106" s="1">
        <v>8</v>
      </c>
    </row>
    <row r="107" spans="1:5" x14ac:dyDescent="0.3">
      <c r="A107" s="1" t="s">
        <v>4</v>
      </c>
      <c r="B107" s="1" t="str">
        <f>VLOOKUP(A107,Main!$A$4:$B$17,2,0)</f>
        <v>DHAKA</v>
      </c>
      <c r="C107" s="1" t="s">
        <v>22</v>
      </c>
      <c r="D107" s="1" cm="1">
        <f t="array" ref="D107">_xlfn.XLOOKUP(Sheet2!C107,'Insights &amp; Interpretation'!$B$3:$B$16,'Insights &amp; Interpretation'!$A$3:A$16,0)</f>
        <v>11</v>
      </c>
      <c r="E107" s="1">
        <v>113</v>
      </c>
    </row>
    <row r="108" spans="1:5" x14ac:dyDescent="0.3">
      <c r="A108" s="1" t="s">
        <v>2</v>
      </c>
      <c r="B108" s="1" t="str">
        <f>VLOOKUP(A108,Main!$A$4:$B$17,2,0)</f>
        <v>CHITTAGONG</v>
      </c>
      <c r="C108" s="1" t="s">
        <v>22</v>
      </c>
      <c r="D108" s="1" cm="1">
        <f t="array" ref="D108">_xlfn.XLOOKUP(Sheet2!C108,'Insights &amp; Interpretation'!$B$3:$B$16,'Insights &amp; Interpretation'!$A$3:A$16,0)</f>
        <v>11</v>
      </c>
      <c r="E108" s="1">
        <v>163</v>
      </c>
    </row>
    <row r="109" spans="1:5" x14ac:dyDescent="0.3">
      <c r="A109" s="1" t="s">
        <v>13</v>
      </c>
      <c r="B109" s="1" t="str">
        <f>VLOOKUP(A109,Main!$A$4:$B$17,2,0)</f>
        <v>SYLHET</v>
      </c>
      <c r="C109" s="1" t="s">
        <v>22</v>
      </c>
      <c r="D109" s="1" cm="1">
        <f t="array" ref="D109">_xlfn.XLOOKUP(Sheet2!C109,'Insights &amp; Interpretation'!$B$3:$B$16,'Insights &amp; Interpretation'!$A$3:A$16,0)</f>
        <v>11</v>
      </c>
      <c r="E109" s="1">
        <v>43</v>
      </c>
    </row>
    <row r="110" spans="1:5" x14ac:dyDescent="0.3">
      <c r="A110" s="1" t="s">
        <v>6</v>
      </c>
      <c r="B110" s="1" t="str">
        <f>VLOOKUP(A110,Main!$A$4:$B$17,2,0)</f>
        <v>KHULNA</v>
      </c>
      <c r="C110" s="1" t="s">
        <v>22</v>
      </c>
      <c r="D110" s="1" cm="1">
        <f t="array" ref="D110">_xlfn.XLOOKUP(Sheet2!C110,'Insights &amp; Interpretation'!$B$3:$B$16,'Insights &amp; Interpretation'!$A$3:A$16,0)</f>
        <v>11</v>
      </c>
      <c r="E110" s="1">
        <v>41</v>
      </c>
    </row>
    <row r="111" spans="1:5" x14ac:dyDescent="0.3">
      <c r="A111" s="1" t="s">
        <v>0</v>
      </c>
      <c r="B111" s="1" t="str">
        <f>VLOOKUP(A111,Main!$A$4:$B$17,2,0)</f>
        <v>BARISHAL</v>
      </c>
      <c r="C111" s="1" t="s">
        <v>22</v>
      </c>
      <c r="D111" s="1" cm="1">
        <f t="array" ref="D111">_xlfn.XLOOKUP(Sheet2!C111,'Insights &amp; Interpretation'!$B$3:$B$16,'Insights &amp; Interpretation'!$A$3:A$16,0)</f>
        <v>11</v>
      </c>
      <c r="E111" s="1">
        <v>20</v>
      </c>
    </row>
    <row r="112" spans="1:5" x14ac:dyDescent="0.3">
      <c r="A112" s="1" t="s">
        <v>9</v>
      </c>
      <c r="B112" s="1" t="str">
        <f>VLOOKUP(A112,Main!$A$4:$B$17,2,0)</f>
        <v>RAJSHAHI</v>
      </c>
      <c r="C112" s="1" t="s">
        <v>22</v>
      </c>
      <c r="D112" s="1" cm="1">
        <f t="array" ref="D112">_xlfn.XLOOKUP(Sheet2!C112,'Insights &amp; Interpretation'!$B$3:$B$16,'Insights &amp; Interpretation'!$A$3:A$16,0)</f>
        <v>11</v>
      </c>
      <c r="E112" s="1">
        <v>40</v>
      </c>
    </row>
    <row r="113" spans="1:5" x14ac:dyDescent="0.3">
      <c r="A113" s="1" t="s">
        <v>10</v>
      </c>
      <c r="B113" s="1" t="str">
        <f>VLOOKUP(A113,Main!$A$4:$B$17,2,0)</f>
        <v>RANGPUR</v>
      </c>
      <c r="C113" s="1" t="s">
        <v>22</v>
      </c>
      <c r="D113" s="1" cm="1">
        <f t="array" ref="D113">_xlfn.XLOOKUP(Sheet2!C113,'Insights &amp; Interpretation'!$B$3:$B$16,'Insights &amp; Interpretation'!$A$3:A$16,0)</f>
        <v>11</v>
      </c>
      <c r="E113" s="1">
        <v>23</v>
      </c>
    </row>
    <row r="114" spans="1:5" x14ac:dyDescent="0.3">
      <c r="A114" s="1" t="s">
        <v>8</v>
      </c>
      <c r="B114" s="1" t="str">
        <f>VLOOKUP(A114,Main!$A$4:$B$17,2,0)</f>
        <v>RAILWAY</v>
      </c>
      <c r="C114" s="1" t="s">
        <v>22</v>
      </c>
      <c r="D114" s="1" cm="1">
        <f t="array" ref="D114">_xlfn.XLOOKUP(Sheet2!C114,'Insights &amp; Interpretation'!$B$3:$B$16,'Insights &amp; Interpretation'!$A$3:A$16,0)</f>
        <v>11</v>
      </c>
      <c r="E114" s="1">
        <v>1</v>
      </c>
    </row>
    <row r="115" spans="1:5" x14ac:dyDescent="0.3">
      <c r="A115" s="1" t="s">
        <v>5</v>
      </c>
      <c r="B115" s="1" t="str">
        <f>VLOOKUP(A115,Main!$A$4:$B$17,2,0)</f>
        <v>DHAKA</v>
      </c>
      <c r="C115" s="1" t="s">
        <v>23</v>
      </c>
      <c r="D115" s="1" cm="1">
        <f t="array" ref="D115">_xlfn.XLOOKUP(Sheet2!C115,'Insights &amp; Interpretation'!$B$3:$B$16,'Insights &amp; Interpretation'!$A$3:A$16,0)</f>
        <v>0</v>
      </c>
      <c r="E115" s="1">
        <v>642</v>
      </c>
    </row>
    <row r="116" spans="1:5" x14ac:dyDescent="0.3">
      <c r="A116" s="1" t="s">
        <v>3</v>
      </c>
      <c r="B116" s="1" t="str">
        <f>VLOOKUP(A116,Main!$A$4:$B$17,2,0)</f>
        <v>CHITTAGONG</v>
      </c>
      <c r="C116" s="1" t="s">
        <v>23</v>
      </c>
      <c r="D116" s="1" cm="1">
        <f t="array" ref="D116">_xlfn.XLOOKUP(Sheet2!C116,'Insights &amp; Interpretation'!$B$3:$B$16,'Insights &amp; Interpretation'!$A$3:A$16,0)</f>
        <v>0</v>
      </c>
      <c r="E116" s="1">
        <v>128</v>
      </c>
    </row>
    <row r="117" spans="1:5" x14ac:dyDescent="0.3">
      <c r="A117" s="1" t="s">
        <v>7</v>
      </c>
      <c r="B117" s="1" t="str">
        <f>VLOOKUP(A117,Main!$A$4:$B$17,2,0)</f>
        <v>KHULNA</v>
      </c>
      <c r="C117" s="1" t="s">
        <v>23</v>
      </c>
      <c r="D117" s="1" cm="1">
        <f t="array" ref="D117">_xlfn.XLOOKUP(Sheet2!C117,'Insights &amp; Interpretation'!$B$3:$B$16,'Insights &amp; Interpretation'!$A$3:A$16,0)</f>
        <v>0</v>
      </c>
      <c r="E117" s="1">
        <v>49</v>
      </c>
    </row>
    <row r="118" spans="1:5" x14ac:dyDescent="0.3">
      <c r="A118" s="1" t="s">
        <v>11</v>
      </c>
      <c r="B118" s="1" t="str">
        <f>VLOOKUP(A118,Main!$A$4:$B$17,2,0)</f>
        <v>RAJSHAHI</v>
      </c>
      <c r="C118" s="1" t="s">
        <v>23</v>
      </c>
      <c r="D118" s="1" cm="1">
        <f t="array" ref="D118">_xlfn.XLOOKUP(Sheet2!C118,'Insights &amp; Interpretation'!$B$3:$B$16,'Insights &amp; Interpretation'!$A$3:A$16,0)</f>
        <v>0</v>
      </c>
      <c r="E118" s="1">
        <v>39</v>
      </c>
    </row>
    <row r="119" spans="1:5" x14ac:dyDescent="0.3">
      <c r="A119" s="1" t="s">
        <v>1</v>
      </c>
      <c r="B119" s="1" t="str">
        <f>VLOOKUP(A119,Main!$A$4:$B$17,2,0)</f>
        <v>BARISHAL</v>
      </c>
      <c r="C119" s="1" t="s">
        <v>23</v>
      </c>
      <c r="D119" s="1" cm="1">
        <f t="array" ref="D119">_xlfn.XLOOKUP(Sheet2!C119,'Insights &amp; Interpretation'!$B$3:$B$16,'Insights &amp; Interpretation'!$A$3:A$16,0)</f>
        <v>0</v>
      </c>
      <c r="E119" s="1">
        <v>33</v>
      </c>
    </row>
    <row r="120" spans="1:5" x14ac:dyDescent="0.3">
      <c r="A120" s="1" t="s">
        <v>12</v>
      </c>
      <c r="B120" s="1" t="str">
        <f>VLOOKUP(A120,Main!$A$4:$B$17,2,0)</f>
        <v>SYLHET</v>
      </c>
      <c r="C120" s="1" t="s">
        <v>23</v>
      </c>
      <c r="D120" s="1" cm="1">
        <f t="array" ref="D120">_xlfn.XLOOKUP(Sheet2!C120,'Insights &amp; Interpretation'!$B$3:$B$16,'Insights &amp; Interpretation'!$A$3:A$16,0)</f>
        <v>0</v>
      </c>
      <c r="E120" s="1">
        <v>25</v>
      </c>
    </row>
    <row r="121" spans="1:5" x14ac:dyDescent="0.3">
      <c r="A121" s="1" t="s">
        <v>4</v>
      </c>
      <c r="B121" s="1" t="str">
        <f>VLOOKUP(A121,Main!$A$4:$B$17,2,0)</f>
        <v>DHAKA</v>
      </c>
      <c r="C121" s="1" t="s">
        <v>23</v>
      </c>
      <c r="D121" s="1" cm="1">
        <f t="array" ref="D121">_xlfn.XLOOKUP(Sheet2!C121,'Insights &amp; Interpretation'!$B$3:$B$16,'Insights &amp; Interpretation'!$A$3:A$16,0)</f>
        <v>0</v>
      </c>
      <c r="E121" s="1">
        <v>471</v>
      </c>
    </row>
    <row r="122" spans="1:5" x14ac:dyDescent="0.3">
      <c r="A122" s="1" t="s">
        <v>2</v>
      </c>
      <c r="B122" s="1" t="str">
        <f>VLOOKUP(A122,Main!$A$4:$B$17,2,0)</f>
        <v>CHITTAGONG</v>
      </c>
      <c r="C122" s="1" t="s">
        <v>23</v>
      </c>
      <c r="D122" s="1" cm="1">
        <f t="array" ref="D122">_xlfn.XLOOKUP(Sheet2!C122,'Insights &amp; Interpretation'!$B$3:$B$16,'Insights &amp; Interpretation'!$A$3:A$16,0)</f>
        <v>0</v>
      </c>
      <c r="E122" s="1">
        <v>406</v>
      </c>
    </row>
    <row r="123" spans="1:5" x14ac:dyDescent="0.3">
      <c r="A123" s="1" t="s">
        <v>13</v>
      </c>
      <c r="B123" s="1" t="str">
        <f>VLOOKUP(A123,Main!$A$4:$B$17,2,0)</f>
        <v>SYLHET</v>
      </c>
      <c r="C123" s="1" t="s">
        <v>23</v>
      </c>
      <c r="D123" s="1" cm="1">
        <f t="array" ref="D123">_xlfn.XLOOKUP(Sheet2!C123,'Insights &amp; Interpretation'!$B$3:$B$16,'Insights &amp; Interpretation'!$A$3:A$16,0)</f>
        <v>0</v>
      </c>
      <c r="E123" s="1">
        <v>76</v>
      </c>
    </row>
    <row r="124" spans="1:5" x14ac:dyDescent="0.3">
      <c r="A124" s="1" t="s">
        <v>6</v>
      </c>
      <c r="B124" s="1" t="str">
        <f>VLOOKUP(A124,Main!$A$4:$B$17,2,0)</f>
        <v>KHULNA</v>
      </c>
      <c r="C124" s="1" t="s">
        <v>23</v>
      </c>
      <c r="D124" s="1" cm="1">
        <f t="array" ref="D124">_xlfn.XLOOKUP(Sheet2!C124,'Insights &amp; Interpretation'!$B$3:$B$16,'Insights &amp; Interpretation'!$A$3:A$16,0)</f>
        <v>0</v>
      </c>
      <c r="E124" s="1">
        <v>250</v>
      </c>
    </row>
    <row r="125" spans="1:5" x14ac:dyDescent="0.3">
      <c r="A125" s="1" t="s">
        <v>0</v>
      </c>
      <c r="B125" s="1" t="str">
        <f>VLOOKUP(A125,Main!$A$4:$B$17,2,0)</f>
        <v>BARISHAL</v>
      </c>
      <c r="C125" s="1" t="s">
        <v>23</v>
      </c>
      <c r="D125" s="1" cm="1">
        <f t="array" ref="D125">_xlfn.XLOOKUP(Sheet2!C125,'Insights &amp; Interpretation'!$B$3:$B$16,'Insights &amp; Interpretation'!$A$3:A$16,0)</f>
        <v>0</v>
      </c>
      <c r="E125" s="1">
        <v>156</v>
      </c>
    </row>
    <row r="126" spans="1:5" x14ac:dyDescent="0.3">
      <c r="A126" s="1" t="s">
        <v>9</v>
      </c>
      <c r="B126" s="1" t="str">
        <f>VLOOKUP(A126,Main!$A$4:$B$17,2,0)</f>
        <v>RAJSHAHI</v>
      </c>
      <c r="C126" s="1" t="s">
        <v>23</v>
      </c>
      <c r="D126" s="1" cm="1">
        <f t="array" ref="D126">_xlfn.XLOOKUP(Sheet2!C126,'Insights &amp; Interpretation'!$B$3:$B$16,'Insights &amp; Interpretation'!$A$3:A$16,0)</f>
        <v>0</v>
      </c>
      <c r="E126" s="1">
        <v>72</v>
      </c>
    </row>
    <row r="127" spans="1:5" x14ac:dyDescent="0.3">
      <c r="A127" s="1" t="s">
        <v>10</v>
      </c>
      <c r="B127" s="1" t="str">
        <f>VLOOKUP(A127,Main!$A$4:$B$17,2,0)</f>
        <v>RANGPUR</v>
      </c>
      <c r="C127" s="1" t="s">
        <v>23</v>
      </c>
      <c r="D127" s="1" cm="1">
        <f t="array" ref="D127">_xlfn.XLOOKUP(Sheet2!C127,'Insights &amp; Interpretation'!$B$3:$B$16,'Insights &amp; Interpretation'!$A$3:A$16,0)</f>
        <v>0</v>
      </c>
      <c r="E127" s="1">
        <v>146</v>
      </c>
    </row>
    <row r="128" spans="1:5" x14ac:dyDescent="0.3">
      <c r="A128" s="1" t="s">
        <v>8</v>
      </c>
      <c r="B128" s="1" t="str">
        <f>VLOOKUP(A128,Main!$A$4:$B$17,2,0)</f>
        <v>RAILWAY</v>
      </c>
      <c r="C128" s="1" t="s">
        <v>23</v>
      </c>
      <c r="D128" s="1" cm="1">
        <f t="array" ref="D128">_xlfn.XLOOKUP(Sheet2!C128,'Insights &amp; Interpretation'!$B$3:$B$16,'Insights &amp; Interpretation'!$A$3:A$16,0)</f>
        <v>0</v>
      </c>
      <c r="E128" s="1">
        <v>1</v>
      </c>
    </row>
    <row r="129" spans="1:5" x14ac:dyDescent="0.3">
      <c r="A129" s="1" t="s">
        <v>5</v>
      </c>
      <c r="B129" s="1" t="str">
        <f>VLOOKUP(A129,Main!$A$4:$B$17,2,0)</f>
        <v>DHAKA</v>
      </c>
      <c r="C129" s="1" t="s">
        <v>24</v>
      </c>
      <c r="D129" s="1" cm="1">
        <f t="array" ref="D129">_xlfn.XLOOKUP(Sheet2!C129,'Insights &amp; Interpretation'!$B$3:$B$16,'Insights &amp; Interpretation'!$A$3:A$16,0)</f>
        <v>13</v>
      </c>
      <c r="E129" s="1">
        <v>1711</v>
      </c>
    </row>
    <row r="130" spans="1:5" x14ac:dyDescent="0.3">
      <c r="A130" s="1" t="s">
        <v>3</v>
      </c>
      <c r="B130" s="1" t="str">
        <f>VLOOKUP(A130,Main!$A$4:$B$17,2,0)</f>
        <v>CHITTAGONG</v>
      </c>
      <c r="C130" s="1" t="s">
        <v>24</v>
      </c>
      <c r="D130" s="1" cm="1">
        <f t="array" ref="D130">_xlfn.XLOOKUP(Sheet2!C130,'Insights &amp; Interpretation'!$B$3:$B$16,'Insights &amp; Interpretation'!$A$3:A$16,0)</f>
        <v>13</v>
      </c>
      <c r="E130" s="1">
        <v>262</v>
      </c>
    </row>
    <row r="131" spans="1:5" x14ac:dyDescent="0.3">
      <c r="A131" s="1" t="s">
        <v>7</v>
      </c>
      <c r="B131" s="1" t="str">
        <f>VLOOKUP(A131,Main!$A$4:$B$17,2,0)</f>
        <v>KHULNA</v>
      </c>
      <c r="C131" s="1" t="s">
        <v>24</v>
      </c>
      <c r="D131" s="1" cm="1">
        <f t="array" ref="D131">_xlfn.XLOOKUP(Sheet2!C131,'Insights &amp; Interpretation'!$B$3:$B$16,'Insights &amp; Interpretation'!$A$3:A$16,0)</f>
        <v>13</v>
      </c>
      <c r="E131" s="1">
        <v>95</v>
      </c>
    </row>
    <row r="132" spans="1:5" x14ac:dyDescent="0.3">
      <c r="A132" s="1" t="s">
        <v>11</v>
      </c>
      <c r="B132" s="1" t="str">
        <f>VLOOKUP(A132,Main!$A$4:$B$17,2,0)</f>
        <v>RAJSHAHI</v>
      </c>
      <c r="C132" s="1" t="s">
        <v>24</v>
      </c>
      <c r="D132" s="1" cm="1">
        <f t="array" ref="D132">_xlfn.XLOOKUP(Sheet2!C132,'Insights &amp; Interpretation'!$B$3:$B$16,'Insights &amp; Interpretation'!$A$3:A$16,0)</f>
        <v>13</v>
      </c>
      <c r="E132" s="1">
        <v>66</v>
      </c>
    </row>
    <row r="133" spans="1:5" x14ac:dyDescent="0.3">
      <c r="A133" s="1" t="s">
        <v>1</v>
      </c>
      <c r="B133" s="1" t="str">
        <f>VLOOKUP(A133,Main!$A$4:$B$17,2,0)</f>
        <v>BARISHAL</v>
      </c>
      <c r="C133" s="1" t="s">
        <v>24</v>
      </c>
      <c r="D133" s="1" cm="1">
        <f t="array" ref="D133">_xlfn.XLOOKUP(Sheet2!C133,'Insights &amp; Interpretation'!$B$3:$B$16,'Insights &amp; Interpretation'!$A$3:A$16,0)</f>
        <v>13</v>
      </c>
      <c r="E133" s="1">
        <v>50</v>
      </c>
    </row>
    <row r="134" spans="1:5" x14ac:dyDescent="0.3">
      <c r="A134" s="1" t="s">
        <v>12</v>
      </c>
      <c r="B134" s="1" t="str">
        <f>VLOOKUP(A134,Main!$A$4:$B$17,2,0)</f>
        <v>SYLHET</v>
      </c>
      <c r="C134" s="1" t="s">
        <v>24</v>
      </c>
      <c r="D134" s="1" cm="1">
        <f t="array" ref="D134">_xlfn.XLOOKUP(Sheet2!C134,'Insights &amp; Interpretation'!$B$3:$B$16,'Insights &amp; Interpretation'!$A$3:A$16,0)</f>
        <v>13</v>
      </c>
      <c r="E134" s="1">
        <v>89</v>
      </c>
    </row>
    <row r="135" spans="1:5" x14ac:dyDescent="0.3">
      <c r="A135" s="1" t="s">
        <v>4</v>
      </c>
      <c r="B135" s="1" t="str">
        <f>VLOOKUP(A135,Main!$A$4:$B$17,2,0)</f>
        <v>DHAKA</v>
      </c>
      <c r="C135" s="1" t="s">
        <v>24</v>
      </c>
      <c r="D135" s="1" cm="1">
        <f t="array" ref="D135">_xlfn.XLOOKUP(Sheet2!C135,'Insights &amp; Interpretation'!$B$3:$B$16,'Insights &amp; Interpretation'!$A$3:A$16,0)</f>
        <v>13</v>
      </c>
      <c r="E135" s="1">
        <v>1565</v>
      </c>
    </row>
    <row r="136" spans="1:5" x14ac:dyDescent="0.3">
      <c r="A136" s="1" t="s">
        <v>2</v>
      </c>
      <c r="B136" s="1" t="str">
        <f>VLOOKUP(A136,Main!$A$4:$B$17,2,0)</f>
        <v>CHITTAGONG</v>
      </c>
      <c r="C136" s="1" t="s">
        <v>24</v>
      </c>
      <c r="D136" s="1" cm="1">
        <f t="array" ref="D136">_xlfn.XLOOKUP(Sheet2!C136,'Insights &amp; Interpretation'!$B$3:$B$16,'Insights &amp; Interpretation'!$A$3:A$16,0)</f>
        <v>13</v>
      </c>
      <c r="E136" s="1">
        <v>906</v>
      </c>
    </row>
    <row r="137" spans="1:5" x14ac:dyDescent="0.3">
      <c r="A137" s="1" t="s">
        <v>13</v>
      </c>
      <c r="B137" s="1" t="str">
        <f>VLOOKUP(A137,Main!$A$4:$B$17,2,0)</f>
        <v>SYLHET</v>
      </c>
      <c r="C137" s="1" t="s">
        <v>24</v>
      </c>
      <c r="D137" s="1" cm="1">
        <f t="array" ref="D137">_xlfn.XLOOKUP(Sheet2!C137,'Insights &amp; Interpretation'!$B$3:$B$16,'Insights &amp; Interpretation'!$A$3:A$16,0)</f>
        <v>13</v>
      </c>
      <c r="E137" s="1">
        <v>326</v>
      </c>
    </row>
    <row r="138" spans="1:5" x14ac:dyDescent="0.3">
      <c r="A138" s="1" t="s">
        <v>6</v>
      </c>
      <c r="B138" s="1" t="str">
        <f>VLOOKUP(A138,Main!$A$4:$B$17,2,0)</f>
        <v>KHULNA</v>
      </c>
      <c r="C138" s="1" t="s">
        <v>24</v>
      </c>
      <c r="D138" s="1" cm="1">
        <f t="array" ref="D138">_xlfn.XLOOKUP(Sheet2!C138,'Insights &amp; Interpretation'!$B$3:$B$16,'Insights &amp; Interpretation'!$A$3:A$16,0)</f>
        <v>13</v>
      </c>
      <c r="E138" s="1">
        <v>513</v>
      </c>
    </row>
    <row r="139" spans="1:5" x14ac:dyDescent="0.3">
      <c r="A139" s="1" t="s">
        <v>0</v>
      </c>
      <c r="B139" s="1" t="str">
        <f>VLOOKUP(A139,Main!$A$4:$B$17,2,0)</f>
        <v>BARISHAL</v>
      </c>
      <c r="C139" s="1" t="s">
        <v>24</v>
      </c>
      <c r="D139" s="1" cm="1">
        <f t="array" ref="D139">_xlfn.XLOOKUP(Sheet2!C139,'Insights &amp; Interpretation'!$B$3:$B$16,'Insights &amp; Interpretation'!$A$3:A$16,0)</f>
        <v>13</v>
      </c>
      <c r="E139" s="1">
        <v>266</v>
      </c>
    </row>
    <row r="140" spans="1:5" x14ac:dyDescent="0.3">
      <c r="A140" s="1" t="s">
        <v>9</v>
      </c>
      <c r="B140" s="1" t="str">
        <f>VLOOKUP(A140,Main!$A$4:$B$17,2,0)</f>
        <v>RAJSHAHI</v>
      </c>
      <c r="C140" s="1" t="s">
        <v>24</v>
      </c>
      <c r="D140" s="1" cm="1">
        <f t="array" ref="D140">_xlfn.XLOOKUP(Sheet2!C140,'Insights &amp; Interpretation'!$B$3:$B$16,'Insights &amp; Interpretation'!$A$3:A$16,0)</f>
        <v>13</v>
      </c>
      <c r="E140" s="1">
        <v>441</v>
      </c>
    </row>
    <row r="141" spans="1:5" x14ac:dyDescent="0.3">
      <c r="A141" s="1" t="s">
        <v>10</v>
      </c>
      <c r="B141" s="1" t="str">
        <f>VLOOKUP(A141,Main!$A$4:$B$17,2,0)</f>
        <v>RANGPUR</v>
      </c>
      <c r="C141" s="1" t="s">
        <v>24</v>
      </c>
      <c r="D141" s="1" cm="1">
        <f t="array" ref="D141">_xlfn.XLOOKUP(Sheet2!C141,'Insights &amp; Interpretation'!$B$3:$B$16,'Insights &amp; Interpretation'!$A$3:A$16,0)</f>
        <v>13</v>
      </c>
      <c r="E141" s="1">
        <v>460</v>
      </c>
    </row>
    <row r="142" spans="1:5" x14ac:dyDescent="0.3">
      <c r="A142" s="1" t="s">
        <v>8</v>
      </c>
      <c r="B142" s="1" t="str">
        <f>VLOOKUP(A142,Main!$A$4:$B$17,2,0)</f>
        <v>RAILWAY</v>
      </c>
      <c r="C142" s="1" t="s">
        <v>24</v>
      </c>
      <c r="D142" s="1" cm="1">
        <f t="array" ref="D142">_xlfn.XLOOKUP(Sheet2!C142,'Insights &amp; Interpretation'!$B$3:$B$16,'Insights &amp; Interpretation'!$A$3:A$16,0)</f>
        <v>13</v>
      </c>
      <c r="E142" s="1">
        <v>71</v>
      </c>
    </row>
    <row r="143" spans="1:5" x14ac:dyDescent="0.3">
      <c r="A143" s="1" t="s">
        <v>5</v>
      </c>
      <c r="B143" s="1" t="str">
        <f>VLOOKUP(A143,Main!$A$4:$B$17,2,0)</f>
        <v>DHAKA</v>
      </c>
      <c r="C143" s="1" t="s">
        <v>25</v>
      </c>
      <c r="D143" s="1" cm="1">
        <f t="array" ref="D143">_xlfn.XLOOKUP(Sheet2!C143,'Insights &amp; Interpretation'!$B$3:$B$16,'Insights &amp; Interpretation'!$A$3:A$16,0)</f>
        <v>5</v>
      </c>
      <c r="E143" s="1">
        <v>263</v>
      </c>
    </row>
    <row r="144" spans="1:5" x14ac:dyDescent="0.3">
      <c r="A144" s="1" t="s">
        <v>3</v>
      </c>
      <c r="B144" s="1" t="str">
        <f>VLOOKUP(A144,Main!$A$4:$B$17,2,0)</f>
        <v>CHITTAGONG</v>
      </c>
      <c r="C144" s="1" t="s">
        <v>25</v>
      </c>
      <c r="D144" s="1" cm="1">
        <f t="array" ref="D144">_xlfn.XLOOKUP(Sheet2!C144,'Insights &amp; Interpretation'!$B$3:$B$16,'Insights &amp; Interpretation'!$A$3:A$16,0)</f>
        <v>5</v>
      </c>
      <c r="E144" s="1">
        <v>101</v>
      </c>
    </row>
    <row r="145" spans="1:5" x14ac:dyDescent="0.3">
      <c r="A145" s="1" t="s">
        <v>7</v>
      </c>
      <c r="B145" s="1" t="str">
        <f>VLOOKUP(A145,Main!$A$4:$B$17,2,0)</f>
        <v>KHULNA</v>
      </c>
      <c r="C145" s="1" t="s">
        <v>25</v>
      </c>
      <c r="D145" s="1" cm="1">
        <f t="array" ref="D145">_xlfn.XLOOKUP(Sheet2!C145,'Insights &amp; Interpretation'!$B$3:$B$16,'Insights &amp; Interpretation'!$A$3:A$16,0)</f>
        <v>5</v>
      </c>
      <c r="E145" s="1">
        <v>21</v>
      </c>
    </row>
    <row r="146" spans="1:5" x14ac:dyDescent="0.3">
      <c r="A146" s="1" t="s">
        <v>11</v>
      </c>
      <c r="B146" s="1" t="str">
        <f>VLOOKUP(A146,Main!$A$4:$B$17,2,0)</f>
        <v>RAJSHAHI</v>
      </c>
      <c r="C146" s="1" t="s">
        <v>25</v>
      </c>
      <c r="D146" s="1" cm="1">
        <f t="array" ref="D146">_xlfn.XLOOKUP(Sheet2!C146,'Insights &amp; Interpretation'!$B$3:$B$16,'Insights &amp; Interpretation'!$A$3:A$16,0)</f>
        <v>5</v>
      </c>
      <c r="E146" s="1">
        <v>23</v>
      </c>
    </row>
    <row r="147" spans="1:5" x14ac:dyDescent="0.3">
      <c r="A147" s="1" t="s">
        <v>1</v>
      </c>
      <c r="B147" s="1" t="str">
        <f>VLOOKUP(A147,Main!$A$4:$B$17,2,0)</f>
        <v>BARISHAL</v>
      </c>
      <c r="C147" s="1" t="s">
        <v>25</v>
      </c>
      <c r="D147" s="1" cm="1">
        <f t="array" ref="D147">_xlfn.XLOOKUP(Sheet2!C147,'Insights &amp; Interpretation'!$B$3:$B$16,'Insights &amp; Interpretation'!$A$3:A$16,0)</f>
        <v>5</v>
      </c>
      <c r="E147" s="1">
        <v>17</v>
      </c>
    </row>
    <row r="148" spans="1:5" x14ac:dyDescent="0.3">
      <c r="A148" s="1" t="s">
        <v>12</v>
      </c>
      <c r="B148" s="1" t="str">
        <f>VLOOKUP(A148,Main!$A$4:$B$17,2,0)</f>
        <v>SYLHET</v>
      </c>
      <c r="C148" s="1" t="s">
        <v>25</v>
      </c>
      <c r="D148" s="1" cm="1">
        <f t="array" ref="D148">_xlfn.XLOOKUP(Sheet2!C148,'Insights &amp; Interpretation'!$B$3:$B$16,'Insights &amp; Interpretation'!$A$3:A$16,0)</f>
        <v>5</v>
      </c>
      <c r="E148" s="1">
        <v>11</v>
      </c>
    </row>
    <row r="149" spans="1:5" x14ac:dyDescent="0.3">
      <c r="A149" s="1" t="s">
        <v>4</v>
      </c>
      <c r="B149" s="1" t="str">
        <f>VLOOKUP(A149,Main!$A$4:$B$17,2,0)</f>
        <v>DHAKA</v>
      </c>
      <c r="C149" s="1" t="s">
        <v>25</v>
      </c>
      <c r="D149" s="1" cm="1">
        <f t="array" ref="D149">_xlfn.XLOOKUP(Sheet2!C149,'Insights &amp; Interpretation'!$B$3:$B$16,'Insights &amp; Interpretation'!$A$3:A$16,0)</f>
        <v>5</v>
      </c>
      <c r="E149" s="1">
        <v>367</v>
      </c>
    </row>
    <row r="150" spans="1:5" x14ac:dyDescent="0.3">
      <c r="A150" s="1" t="s">
        <v>2</v>
      </c>
      <c r="B150" s="1" t="str">
        <f>VLOOKUP(A150,Main!$A$4:$B$17,2,0)</f>
        <v>CHITTAGONG</v>
      </c>
      <c r="C150" s="1" t="s">
        <v>25</v>
      </c>
      <c r="D150" s="1" cm="1">
        <f t="array" ref="D150">_xlfn.XLOOKUP(Sheet2!C150,'Insights &amp; Interpretation'!$B$3:$B$16,'Insights &amp; Interpretation'!$A$3:A$16,0)</f>
        <v>5</v>
      </c>
      <c r="E150" s="1">
        <v>498</v>
      </c>
    </row>
    <row r="151" spans="1:5" x14ac:dyDescent="0.3">
      <c r="A151" s="1" t="s">
        <v>13</v>
      </c>
      <c r="B151" s="1" t="str">
        <f>VLOOKUP(A151,Main!$A$4:$B$17,2,0)</f>
        <v>SYLHET</v>
      </c>
      <c r="C151" s="1" t="s">
        <v>25</v>
      </c>
      <c r="D151" s="1" cm="1">
        <f t="array" ref="D151">_xlfn.XLOOKUP(Sheet2!C151,'Insights &amp; Interpretation'!$B$3:$B$16,'Insights &amp; Interpretation'!$A$3:A$16,0)</f>
        <v>5</v>
      </c>
      <c r="E151" s="1">
        <v>54</v>
      </c>
    </row>
    <row r="152" spans="1:5" x14ac:dyDescent="0.3">
      <c r="A152" s="1" t="s">
        <v>6</v>
      </c>
      <c r="B152" s="1" t="str">
        <f>VLOOKUP(A152,Main!$A$4:$B$17,2,0)</f>
        <v>KHULNA</v>
      </c>
      <c r="C152" s="1" t="s">
        <v>25</v>
      </c>
      <c r="D152" s="1" cm="1">
        <f t="array" ref="D152">_xlfn.XLOOKUP(Sheet2!C152,'Insights &amp; Interpretation'!$B$3:$B$16,'Insights &amp; Interpretation'!$A$3:A$16,0)</f>
        <v>5</v>
      </c>
      <c r="E152" s="1">
        <v>330</v>
      </c>
    </row>
    <row r="153" spans="1:5" x14ac:dyDescent="0.3">
      <c r="A153" s="1" t="s">
        <v>0</v>
      </c>
      <c r="B153" s="1" t="str">
        <f>VLOOKUP(A153,Main!$A$4:$B$17,2,0)</f>
        <v>BARISHAL</v>
      </c>
      <c r="C153" s="1" t="s">
        <v>25</v>
      </c>
      <c r="D153" s="1" cm="1">
        <f t="array" ref="D153">_xlfn.XLOOKUP(Sheet2!C153,'Insights &amp; Interpretation'!$B$3:$B$16,'Insights &amp; Interpretation'!$A$3:A$16,0)</f>
        <v>5</v>
      </c>
      <c r="E153" s="1">
        <v>26</v>
      </c>
    </row>
    <row r="154" spans="1:5" x14ac:dyDescent="0.3">
      <c r="A154" s="1" t="s">
        <v>9</v>
      </c>
      <c r="B154" s="1" t="str">
        <f>VLOOKUP(A154,Main!$A$4:$B$17,2,0)</f>
        <v>RAJSHAHI</v>
      </c>
      <c r="C154" s="1" t="s">
        <v>25</v>
      </c>
      <c r="D154" s="1" cm="1">
        <f t="array" ref="D154">_xlfn.XLOOKUP(Sheet2!C154,'Insights &amp; Interpretation'!$B$3:$B$16,'Insights &amp; Interpretation'!$A$3:A$16,0)</f>
        <v>5</v>
      </c>
      <c r="E154" s="1">
        <v>313</v>
      </c>
    </row>
    <row r="155" spans="1:5" x14ac:dyDescent="0.3">
      <c r="A155" s="1" t="s">
        <v>10</v>
      </c>
      <c r="B155" s="1" t="str">
        <f>VLOOKUP(A155,Main!$A$4:$B$17,2,0)</f>
        <v>RANGPUR</v>
      </c>
      <c r="C155" s="1" t="s">
        <v>25</v>
      </c>
      <c r="D155" s="1" cm="1">
        <f t="array" ref="D155">_xlfn.XLOOKUP(Sheet2!C155,'Insights &amp; Interpretation'!$B$3:$B$16,'Insights &amp; Interpretation'!$A$3:A$16,0)</f>
        <v>5</v>
      </c>
      <c r="E155" s="1">
        <v>53</v>
      </c>
    </row>
    <row r="156" spans="1:5" x14ac:dyDescent="0.3">
      <c r="A156" s="1" t="s">
        <v>8</v>
      </c>
      <c r="B156" s="1" t="str">
        <f>VLOOKUP(A156,Main!$A$4:$B$17,2,0)</f>
        <v>RAILWAY</v>
      </c>
      <c r="C156" s="1" t="s">
        <v>25</v>
      </c>
      <c r="D156" s="1" cm="1">
        <f t="array" ref="D156">_xlfn.XLOOKUP(Sheet2!C156,'Insights &amp; Interpretation'!$B$3:$B$16,'Insights &amp; Interpretation'!$A$3:A$16,0)</f>
        <v>5</v>
      </c>
      <c r="E156" s="1">
        <v>4</v>
      </c>
    </row>
    <row r="157" spans="1:5" x14ac:dyDescent="0.3">
      <c r="A157" s="1" t="s">
        <v>5</v>
      </c>
      <c r="B157" s="1" t="str">
        <f>VLOOKUP(A157,Main!$A$4:$B$17,2,0)</f>
        <v>DHAKA</v>
      </c>
      <c r="C157" s="1" t="s">
        <v>26</v>
      </c>
      <c r="D157" s="1" cm="1">
        <f t="array" ref="D157">_xlfn.XLOOKUP(Sheet2!C157,'Insights &amp; Interpretation'!$B$3:$B$16,'Insights &amp; Interpretation'!$A$3:A$16,0)</f>
        <v>6</v>
      </c>
      <c r="E157" s="1">
        <v>195</v>
      </c>
    </row>
    <row r="158" spans="1:5" x14ac:dyDescent="0.3">
      <c r="A158" s="1" t="s">
        <v>3</v>
      </c>
      <c r="B158" s="1" t="str">
        <f>VLOOKUP(A158,Main!$A$4:$B$17,2,0)</f>
        <v>CHITTAGONG</v>
      </c>
      <c r="C158" s="1" t="s">
        <v>26</v>
      </c>
      <c r="D158" s="1" cm="1">
        <f t="array" ref="D158">_xlfn.XLOOKUP(Sheet2!C158,'Insights &amp; Interpretation'!$B$3:$B$16,'Insights &amp; Interpretation'!$A$3:A$16,0)</f>
        <v>6</v>
      </c>
      <c r="E158" s="1">
        <v>40</v>
      </c>
    </row>
    <row r="159" spans="1:5" x14ac:dyDescent="0.3">
      <c r="A159" s="1" t="s">
        <v>7</v>
      </c>
      <c r="B159" s="1" t="str">
        <f>VLOOKUP(A159,Main!$A$4:$B$17,2,0)</f>
        <v>KHULNA</v>
      </c>
      <c r="C159" s="1" t="s">
        <v>26</v>
      </c>
      <c r="D159" s="1" cm="1">
        <f t="array" ref="D159">_xlfn.XLOOKUP(Sheet2!C159,'Insights &amp; Interpretation'!$B$3:$B$16,'Insights &amp; Interpretation'!$A$3:A$16,0)</f>
        <v>6</v>
      </c>
      <c r="E159" s="1">
        <v>13</v>
      </c>
    </row>
    <row r="160" spans="1:5" x14ac:dyDescent="0.3">
      <c r="A160" s="1" t="s">
        <v>11</v>
      </c>
      <c r="B160" s="1" t="str">
        <f>VLOOKUP(A160,Main!$A$4:$B$17,2,0)</f>
        <v>RAJSHAHI</v>
      </c>
      <c r="C160" s="1" t="s">
        <v>26</v>
      </c>
      <c r="D160" s="1" cm="1">
        <f t="array" ref="D160">_xlfn.XLOOKUP(Sheet2!C160,'Insights &amp; Interpretation'!$B$3:$B$16,'Insights &amp; Interpretation'!$A$3:A$16,0)</f>
        <v>6</v>
      </c>
      <c r="E160" s="1">
        <v>30</v>
      </c>
    </row>
    <row r="161" spans="1:5" x14ac:dyDescent="0.3">
      <c r="A161" s="1" t="s">
        <v>1</v>
      </c>
      <c r="B161" s="1" t="str">
        <f>VLOOKUP(A161,Main!$A$4:$B$17,2,0)</f>
        <v>BARISHAL</v>
      </c>
      <c r="C161" s="1" t="s">
        <v>26</v>
      </c>
      <c r="D161" s="1" cm="1">
        <f t="array" ref="D161">_xlfn.XLOOKUP(Sheet2!C161,'Insights &amp; Interpretation'!$B$3:$B$16,'Insights &amp; Interpretation'!$A$3:A$16,0)</f>
        <v>6</v>
      </c>
      <c r="E161" s="1">
        <v>0</v>
      </c>
    </row>
    <row r="162" spans="1:5" x14ac:dyDescent="0.3">
      <c r="A162" s="1" t="s">
        <v>12</v>
      </c>
      <c r="B162" s="1" t="str">
        <f>VLOOKUP(A162,Main!$A$4:$B$17,2,0)</f>
        <v>SYLHET</v>
      </c>
      <c r="C162" s="1" t="s">
        <v>26</v>
      </c>
      <c r="D162" s="1" cm="1">
        <f t="array" ref="D162">_xlfn.XLOOKUP(Sheet2!C162,'Insights &amp; Interpretation'!$B$3:$B$16,'Insights &amp; Interpretation'!$A$3:A$16,0)</f>
        <v>6</v>
      </c>
      <c r="E162" s="1">
        <v>5</v>
      </c>
    </row>
    <row r="163" spans="1:5" x14ac:dyDescent="0.3">
      <c r="A163" s="1" t="s">
        <v>4</v>
      </c>
      <c r="B163" s="1" t="str">
        <f>VLOOKUP(A163,Main!$A$4:$B$17,2,0)</f>
        <v>DHAKA</v>
      </c>
      <c r="C163" s="1" t="s">
        <v>26</v>
      </c>
      <c r="D163" s="1" cm="1">
        <f t="array" ref="D163">_xlfn.XLOOKUP(Sheet2!C163,'Insights &amp; Interpretation'!$B$3:$B$16,'Insights &amp; Interpretation'!$A$3:A$16,0)</f>
        <v>6</v>
      </c>
      <c r="E163" s="1">
        <v>68</v>
      </c>
    </row>
    <row r="164" spans="1:5" x14ac:dyDescent="0.3">
      <c r="A164" s="1" t="s">
        <v>2</v>
      </c>
      <c r="B164" s="1" t="str">
        <f>VLOOKUP(A164,Main!$A$4:$B$17,2,0)</f>
        <v>CHITTAGONG</v>
      </c>
      <c r="C164" s="1" t="s">
        <v>26</v>
      </c>
      <c r="D164" s="1" cm="1">
        <f t="array" ref="D164">_xlfn.XLOOKUP(Sheet2!C164,'Insights &amp; Interpretation'!$B$3:$B$16,'Insights &amp; Interpretation'!$A$3:A$16,0)</f>
        <v>6</v>
      </c>
      <c r="E164" s="1">
        <v>59</v>
      </c>
    </row>
    <row r="165" spans="1:5" x14ac:dyDescent="0.3">
      <c r="A165" s="1" t="s">
        <v>13</v>
      </c>
      <c r="B165" s="1" t="str">
        <f>VLOOKUP(A165,Main!$A$4:$B$17,2,0)</f>
        <v>SYLHET</v>
      </c>
      <c r="C165" s="1" t="s">
        <v>26</v>
      </c>
      <c r="D165" s="1" cm="1">
        <f t="array" ref="D165">_xlfn.XLOOKUP(Sheet2!C165,'Insights &amp; Interpretation'!$B$3:$B$16,'Insights &amp; Interpretation'!$A$3:A$16,0)</f>
        <v>6</v>
      </c>
      <c r="E165" s="1">
        <v>11</v>
      </c>
    </row>
    <row r="166" spans="1:5" x14ac:dyDescent="0.3">
      <c r="A166" s="1" t="s">
        <v>6</v>
      </c>
      <c r="B166" s="1" t="str">
        <f>VLOOKUP(A166,Main!$A$4:$B$17,2,0)</f>
        <v>KHULNA</v>
      </c>
      <c r="C166" s="1" t="s">
        <v>26</v>
      </c>
      <c r="D166" s="1" cm="1">
        <f t="array" ref="D166">_xlfn.XLOOKUP(Sheet2!C166,'Insights &amp; Interpretation'!$B$3:$B$16,'Insights &amp; Interpretation'!$A$3:A$16,0)</f>
        <v>6</v>
      </c>
      <c r="E166" s="1">
        <v>119</v>
      </c>
    </row>
    <row r="167" spans="1:5" x14ac:dyDescent="0.3">
      <c r="A167" s="1" t="s">
        <v>0</v>
      </c>
      <c r="B167" s="1" t="str">
        <f>VLOOKUP(A167,Main!$A$4:$B$17,2,0)</f>
        <v>BARISHAL</v>
      </c>
      <c r="C167" s="1" t="s">
        <v>26</v>
      </c>
      <c r="D167" s="1" cm="1">
        <f t="array" ref="D167">_xlfn.XLOOKUP(Sheet2!C167,'Insights &amp; Interpretation'!$B$3:$B$16,'Insights &amp; Interpretation'!$A$3:A$16,0)</f>
        <v>6</v>
      </c>
      <c r="E167" s="1">
        <v>22</v>
      </c>
    </row>
    <row r="168" spans="1:5" x14ac:dyDescent="0.3">
      <c r="A168" s="1" t="s">
        <v>9</v>
      </c>
      <c r="B168" s="1" t="str">
        <f>VLOOKUP(A168,Main!$A$4:$B$17,2,0)</f>
        <v>RAJSHAHI</v>
      </c>
      <c r="C168" s="1" t="s">
        <v>26</v>
      </c>
      <c r="D168" s="1" cm="1">
        <f t="array" ref="D168">_xlfn.XLOOKUP(Sheet2!C168,'Insights &amp; Interpretation'!$B$3:$B$16,'Insights &amp; Interpretation'!$A$3:A$16,0)</f>
        <v>6</v>
      </c>
      <c r="E168" s="1">
        <v>144</v>
      </c>
    </row>
    <row r="169" spans="1:5" x14ac:dyDescent="0.3">
      <c r="A169" s="1" t="s">
        <v>10</v>
      </c>
      <c r="B169" s="1" t="str">
        <f>VLOOKUP(A169,Main!$A$4:$B$17,2,0)</f>
        <v>RANGPUR</v>
      </c>
      <c r="C169" s="1" t="s">
        <v>26</v>
      </c>
      <c r="D169" s="1" cm="1">
        <f t="array" ref="D169">_xlfn.XLOOKUP(Sheet2!C169,'Insights &amp; Interpretation'!$B$3:$B$16,'Insights &amp; Interpretation'!$A$3:A$16,0)</f>
        <v>6</v>
      </c>
      <c r="E169" s="1">
        <v>10</v>
      </c>
    </row>
    <row r="170" spans="1:5" x14ac:dyDescent="0.3">
      <c r="A170" s="1" t="s">
        <v>8</v>
      </c>
      <c r="B170" s="1" t="str">
        <f>VLOOKUP(A170,Main!$A$4:$B$17,2,0)</f>
        <v>RAILWAY</v>
      </c>
      <c r="C170" s="1" t="s">
        <v>26</v>
      </c>
      <c r="D170" s="1" cm="1">
        <f t="array" ref="D170">_xlfn.XLOOKUP(Sheet2!C170,'Insights &amp; Interpretation'!$B$3:$B$16,'Insights &amp; Interpretation'!$A$3:A$16,0)</f>
        <v>6</v>
      </c>
      <c r="E170" s="1">
        <v>9</v>
      </c>
    </row>
    <row r="171" spans="1:5" x14ac:dyDescent="0.3">
      <c r="A171" s="1" t="s">
        <v>5</v>
      </c>
      <c r="B171" s="1" t="str">
        <f>VLOOKUP(A171,Main!$A$4:$B$17,2,0)</f>
        <v>DHAKA</v>
      </c>
      <c r="C171" s="1" t="s">
        <v>27</v>
      </c>
      <c r="D171" s="1" cm="1">
        <f t="array" ref="D171">_xlfn.XLOOKUP(Sheet2!C171,'Insights &amp; Interpretation'!$B$3:$B$16,'Insights &amp; Interpretation'!$A$3:A$16,0)</f>
        <v>7</v>
      </c>
      <c r="E171" s="1">
        <v>8365</v>
      </c>
    </row>
    <row r="172" spans="1:5" x14ac:dyDescent="0.3">
      <c r="A172" s="1" t="s">
        <v>3</v>
      </c>
      <c r="B172" s="1" t="str">
        <f>VLOOKUP(A172,Main!$A$4:$B$17,2,0)</f>
        <v>CHITTAGONG</v>
      </c>
      <c r="C172" s="1" t="s">
        <v>27</v>
      </c>
      <c r="D172" s="1" cm="1">
        <f t="array" ref="D172">_xlfn.XLOOKUP(Sheet2!C172,'Insights &amp; Interpretation'!$B$3:$B$16,'Insights &amp; Interpretation'!$A$3:A$16,0)</f>
        <v>7</v>
      </c>
      <c r="E172" s="1">
        <v>2090</v>
      </c>
    </row>
    <row r="173" spans="1:5" x14ac:dyDescent="0.3">
      <c r="A173" s="1" t="s">
        <v>7</v>
      </c>
      <c r="B173" s="1" t="str">
        <f>VLOOKUP(A173,Main!$A$4:$B$17,2,0)</f>
        <v>KHULNA</v>
      </c>
      <c r="C173" s="1" t="s">
        <v>27</v>
      </c>
      <c r="D173" s="1" cm="1">
        <f t="array" ref="D173">_xlfn.XLOOKUP(Sheet2!C173,'Insights &amp; Interpretation'!$B$3:$B$16,'Insights &amp; Interpretation'!$A$3:A$16,0)</f>
        <v>7</v>
      </c>
      <c r="E173" s="1">
        <v>659</v>
      </c>
    </row>
    <row r="174" spans="1:5" x14ac:dyDescent="0.3">
      <c r="A174" s="1" t="s">
        <v>11</v>
      </c>
      <c r="B174" s="1" t="str">
        <f>VLOOKUP(A174,Main!$A$4:$B$17,2,0)</f>
        <v>RAJSHAHI</v>
      </c>
      <c r="C174" s="1" t="s">
        <v>27</v>
      </c>
      <c r="D174" s="1" cm="1">
        <f t="array" ref="D174">_xlfn.XLOOKUP(Sheet2!C174,'Insights &amp; Interpretation'!$B$3:$B$16,'Insights &amp; Interpretation'!$A$3:A$16,0)</f>
        <v>7</v>
      </c>
      <c r="E174" s="1">
        <v>733</v>
      </c>
    </row>
    <row r="175" spans="1:5" x14ac:dyDescent="0.3">
      <c r="A175" s="1" t="s">
        <v>1</v>
      </c>
      <c r="B175" s="1" t="str">
        <f>VLOOKUP(A175,Main!$A$4:$B$17,2,0)</f>
        <v>BARISHAL</v>
      </c>
      <c r="C175" s="1" t="s">
        <v>27</v>
      </c>
      <c r="D175" s="1" cm="1">
        <f t="array" ref="D175">_xlfn.XLOOKUP(Sheet2!C175,'Insights &amp; Interpretation'!$B$3:$B$16,'Insights &amp; Interpretation'!$A$3:A$16,0)</f>
        <v>7</v>
      </c>
      <c r="E175" s="1">
        <v>557</v>
      </c>
    </row>
    <row r="176" spans="1:5" x14ac:dyDescent="0.3">
      <c r="A176" s="1" t="s">
        <v>12</v>
      </c>
      <c r="B176" s="1" t="str">
        <f>VLOOKUP(A176,Main!$A$4:$B$17,2,0)</f>
        <v>SYLHET</v>
      </c>
      <c r="C176" s="1" t="s">
        <v>27</v>
      </c>
      <c r="D176" s="1" cm="1">
        <f t="array" ref="D176">_xlfn.XLOOKUP(Sheet2!C176,'Insights &amp; Interpretation'!$B$3:$B$16,'Insights &amp; Interpretation'!$A$3:A$16,0)</f>
        <v>7</v>
      </c>
      <c r="E176" s="1">
        <v>183</v>
      </c>
    </row>
    <row r="177" spans="1:5" x14ac:dyDescent="0.3">
      <c r="A177" s="1" t="s">
        <v>4</v>
      </c>
      <c r="B177" s="1" t="str">
        <f>VLOOKUP(A177,Main!$A$4:$B$17,2,0)</f>
        <v>DHAKA</v>
      </c>
      <c r="C177" s="1" t="s">
        <v>27</v>
      </c>
      <c r="D177" s="1" cm="1">
        <f t="array" ref="D177">_xlfn.XLOOKUP(Sheet2!C177,'Insights &amp; Interpretation'!$B$3:$B$16,'Insights &amp; Interpretation'!$A$3:A$16,0)</f>
        <v>7</v>
      </c>
      <c r="E177" s="1">
        <v>12430</v>
      </c>
    </row>
    <row r="178" spans="1:5" x14ac:dyDescent="0.3">
      <c r="A178" s="1" t="s">
        <v>2</v>
      </c>
      <c r="B178" s="1" t="str">
        <f>VLOOKUP(A178,Main!$A$4:$B$17,2,0)</f>
        <v>CHITTAGONG</v>
      </c>
      <c r="C178" s="1" t="s">
        <v>27</v>
      </c>
      <c r="D178" s="1" cm="1">
        <f t="array" ref="D178">_xlfn.XLOOKUP(Sheet2!C178,'Insights &amp; Interpretation'!$B$3:$B$16,'Insights &amp; Interpretation'!$A$3:A$16,0)</f>
        <v>7</v>
      </c>
      <c r="E178" s="1">
        <v>8012</v>
      </c>
    </row>
    <row r="179" spans="1:5" x14ac:dyDescent="0.3">
      <c r="A179" s="1" t="s">
        <v>13</v>
      </c>
      <c r="B179" s="1" t="str">
        <f>VLOOKUP(A179,Main!$A$4:$B$17,2,0)</f>
        <v>SYLHET</v>
      </c>
      <c r="C179" s="1" t="s">
        <v>27</v>
      </c>
      <c r="D179" s="1" cm="1">
        <f t="array" ref="D179">_xlfn.XLOOKUP(Sheet2!C179,'Insights &amp; Interpretation'!$B$3:$B$16,'Insights &amp; Interpretation'!$A$3:A$16,0)</f>
        <v>7</v>
      </c>
      <c r="E179" s="1">
        <v>3787</v>
      </c>
    </row>
    <row r="180" spans="1:5" x14ac:dyDescent="0.3">
      <c r="A180" s="1" t="s">
        <v>6</v>
      </c>
      <c r="B180" s="1" t="str">
        <f>VLOOKUP(A180,Main!$A$4:$B$17,2,0)</f>
        <v>KHULNA</v>
      </c>
      <c r="C180" s="1" t="s">
        <v>27</v>
      </c>
      <c r="D180" s="1" cm="1">
        <f t="array" ref="D180">_xlfn.XLOOKUP(Sheet2!C180,'Insights &amp; Interpretation'!$B$3:$B$16,'Insights &amp; Interpretation'!$A$3:A$16,0)</f>
        <v>7</v>
      </c>
      <c r="E180" s="1">
        <v>1020</v>
      </c>
    </row>
    <row r="181" spans="1:5" x14ac:dyDescent="0.3">
      <c r="A181" s="1" t="s">
        <v>0</v>
      </c>
      <c r="B181" s="1" t="str">
        <f>VLOOKUP(A181,Main!$A$4:$B$17,2,0)</f>
        <v>BARISHAL</v>
      </c>
      <c r="C181" s="1" t="s">
        <v>27</v>
      </c>
      <c r="D181" s="1" cm="1">
        <f t="array" ref="D181">_xlfn.XLOOKUP(Sheet2!C181,'Insights &amp; Interpretation'!$B$3:$B$16,'Insights &amp; Interpretation'!$A$3:A$16,0)</f>
        <v>7</v>
      </c>
      <c r="E181" s="1">
        <v>5797</v>
      </c>
    </row>
    <row r="182" spans="1:5" x14ac:dyDescent="0.3">
      <c r="A182" s="1" t="s">
        <v>9</v>
      </c>
      <c r="B182" s="1" t="str">
        <f>VLOOKUP(A182,Main!$A$4:$B$17,2,0)</f>
        <v>RAJSHAHI</v>
      </c>
      <c r="C182" s="1" t="s">
        <v>27</v>
      </c>
      <c r="D182" s="1" cm="1">
        <f t="array" ref="D182">_xlfn.XLOOKUP(Sheet2!C182,'Insights &amp; Interpretation'!$B$3:$B$16,'Insights &amp; Interpretation'!$A$3:A$16,0)</f>
        <v>7</v>
      </c>
      <c r="E182" s="1">
        <v>1988</v>
      </c>
    </row>
    <row r="183" spans="1:5" x14ac:dyDescent="0.3">
      <c r="A183" s="1" t="s">
        <v>10</v>
      </c>
      <c r="B183" s="1" t="str">
        <f>VLOOKUP(A183,Main!$A$4:$B$17,2,0)</f>
        <v>RANGPUR</v>
      </c>
      <c r="C183" s="1" t="s">
        <v>27</v>
      </c>
      <c r="D183" s="1" cm="1">
        <f t="array" ref="D183">_xlfn.XLOOKUP(Sheet2!C183,'Insights &amp; Interpretation'!$B$3:$B$16,'Insights &amp; Interpretation'!$A$3:A$16,0)</f>
        <v>7</v>
      </c>
      <c r="E183" s="1">
        <v>496</v>
      </c>
    </row>
    <row r="184" spans="1:5" x14ac:dyDescent="0.3">
      <c r="A184" s="1" t="s">
        <v>8</v>
      </c>
      <c r="B184" s="1" t="str">
        <f>VLOOKUP(A184,Main!$A$4:$B$17,2,0)</f>
        <v>RAILWAY</v>
      </c>
      <c r="C184" s="1" t="s">
        <v>27</v>
      </c>
      <c r="D184" s="1" cm="1">
        <f t="array" ref="D184">_xlfn.XLOOKUP(Sheet2!C184,'Insights &amp; Interpretation'!$B$3:$B$16,'Insights &amp; Interpretation'!$A$3:A$16,0)</f>
        <v>7</v>
      </c>
      <c r="E184" s="1">
        <v>395</v>
      </c>
    </row>
    <row r="185" spans="1:5" x14ac:dyDescent="0.3">
      <c r="A185" s="1" t="s">
        <v>5</v>
      </c>
      <c r="B185" s="1" t="str">
        <f>VLOOKUP(A185,Main!$A$4:$B$17,2,0)</f>
        <v>DHAKA</v>
      </c>
      <c r="C185" s="1" t="s">
        <v>28</v>
      </c>
      <c r="D185" s="1" cm="1">
        <f t="array" ref="D185">_xlfn.XLOOKUP(Sheet2!C185,'Insights &amp; Interpretation'!$B$3:$B$16,'Insights &amp; Interpretation'!$A$3:A$16,0)</f>
        <v>8</v>
      </c>
      <c r="E185" s="1">
        <v>201</v>
      </c>
    </row>
    <row r="186" spans="1:5" x14ac:dyDescent="0.3">
      <c r="A186" s="1" t="s">
        <v>3</v>
      </c>
      <c r="B186" s="1" t="str">
        <f>VLOOKUP(A186,Main!$A$4:$B$17,2,0)</f>
        <v>CHITTAGONG</v>
      </c>
      <c r="C186" s="1" t="s">
        <v>28</v>
      </c>
      <c r="D186" s="1" cm="1">
        <f t="array" ref="D186">_xlfn.XLOOKUP(Sheet2!C186,'Insights &amp; Interpretation'!$B$3:$B$16,'Insights &amp; Interpretation'!$A$3:A$16,0)</f>
        <v>8</v>
      </c>
      <c r="E186" s="1">
        <v>43</v>
      </c>
    </row>
    <row r="187" spans="1:5" x14ac:dyDescent="0.3">
      <c r="A187" s="1" t="s">
        <v>7</v>
      </c>
      <c r="B187" s="1" t="str">
        <f>VLOOKUP(A187,Main!$A$4:$B$17,2,0)</f>
        <v>KHULNA</v>
      </c>
      <c r="C187" s="1" t="s">
        <v>28</v>
      </c>
      <c r="D187" s="1" cm="1">
        <f t="array" ref="D187">_xlfn.XLOOKUP(Sheet2!C187,'Insights &amp; Interpretation'!$B$3:$B$16,'Insights &amp; Interpretation'!$A$3:A$16,0)</f>
        <v>8</v>
      </c>
      <c r="E187" s="1">
        <v>2</v>
      </c>
    </row>
    <row r="188" spans="1:5" x14ac:dyDescent="0.3">
      <c r="A188" s="1" t="s">
        <v>11</v>
      </c>
      <c r="B188" s="1" t="str">
        <f>VLOOKUP(A188,Main!$A$4:$B$17,2,0)</f>
        <v>RAJSHAHI</v>
      </c>
      <c r="C188" s="1" t="s">
        <v>28</v>
      </c>
      <c r="D188" s="1" cm="1">
        <f t="array" ref="D188">_xlfn.XLOOKUP(Sheet2!C188,'Insights &amp; Interpretation'!$B$3:$B$16,'Insights &amp; Interpretation'!$A$3:A$16,0)</f>
        <v>8</v>
      </c>
      <c r="E188" s="1">
        <v>179</v>
      </c>
    </row>
    <row r="189" spans="1:5" x14ac:dyDescent="0.3">
      <c r="A189" s="1" t="s">
        <v>1</v>
      </c>
      <c r="B189" s="1" t="str">
        <f>VLOOKUP(A189,Main!$A$4:$B$17,2,0)</f>
        <v>BARISHAL</v>
      </c>
      <c r="C189" s="1" t="s">
        <v>28</v>
      </c>
      <c r="D189" s="1" cm="1">
        <f t="array" ref="D189">_xlfn.XLOOKUP(Sheet2!C189,'Insights &amp; Interpretation'!$B$3:$B$16,'Insights &amp; Interpretation'!$A$3:A$16,0)</f>
        <v>8</v>
      </c>
      <c r="E189" s="1">
        <v>2</v>
      </c>
    </row>
    <row r="190" spans="1:5" x14ac:dyDescent="0.3">
      <c r="A190" s="1" t="s">
        <v>12</v>
      </c>
      <c r="B190" s="1" t="str">
        <f>VLOOKUP(A190,Main!$A$4:$B$17,2,0)</f>
        <v>SYLHET</v>
      </c>
      <c r="C190" s="1" t="s">
        <v>28</v>
      </c>
      <c r="D190" s="1" cm="1">
        <f t="array" ref="D190">_xlfn.XLOOKUP(Sheet2!C190,'Insights &amp; Interpretation'!$B$3:$B$16,'Insights &amp; Interpretation'!$A$3:A$16,0)</f>
        <v>8</v>
      </c>
      <c r="E190" s="1">
        <v>8</v>
      </c>
    </row>
    <row r="191" spans="1:5" x14ac:dyDescent="0.3">
      <c r="A191" s="1" t="s">
        <v>4</v>
      </c>
      <c r="B191" s="1" t="str">
        <f>VLOOKUP(A191,Main!$A$4:$B$17,2,0)</f>
        <v>DHAKA</v>
      </c>
      <c r="C191" s="1" t="s">
        <v>28</v>
      </c>
      <c r="D191" s="1" cm="1">
        <f t="array" ref="D191">_xlfn.XLOOKUP(Sheet2!C191,'Insights &amp; Interpretation'!$B$3:$B$16,'Insights &amp; Interpretation'!$A$3:A$16,0)</f>
        <v>8</v>
      </c>
      <c r="E191" s="1">
        <v>520</v>
      </c>
    </row>
    <row r="192" spans="1:5" x14ac:dyDescent="0.3">
      <c r="A192" s="1" t="s">
        <v>2</v>
      </c>
      <c r="B192" s="1" t="str">
        <f>VLOOKUP(A192,Main!$A$4:$B$17,2,0)</f>
        <v>CHITTAGONG</v>
      </c>
      <c r="C192" s="1" t="s">
        <v>28</v>
      </c>
      <c r="D192" s="1" cm="1">
        <f t="array" ref="D192">_xlfn.XLOOKUP(Sheet2!C192,'Insights &amp; Interpretation'!$B$3:$B$16,'Insights &amp; Interpretation'!$A$3:A$16,0)</f>
        <v>8</v>
      </c>
      <c r="E192" s="1">
        <v>224</v>
      </c>
    </row>
    <row r="193" spans="1:5" x14ac:dyDescent="0.3">
      <c r="A193" s="1" t="s">
        <v>13</v>
      </c>
      <c r="B193" s="1" t="str">
        <f>VLOOKUP(A193,Main!$A$4:$B$17,2,0)</f>
        <v>SYLHET</v>
      </c>
      <c r="C193" s="1" t="s">
        <v>28</v>
      </c>
      <c r="D193" s="1" cm="1">
        <f t="array" ref="D193">_xlfn.XLOOKUP(Sheet2!C193,'Insights &amp; Interpretation'!$B$3:$B$16,'Insights &amp; Interpretation'!$A$3:A$16,0)</f>
        <v>8</v>
      </c>
      <c r="E193" s="1">
        <v>211</v>
      </c>
    </row>
    <row r="194" spans="1:5" x14ac:dyDescent="0.3">
      <c r="A194" s="1" t="s">
        <v>6</v>
      </c>
      <c r="B194" s="1" t="str">
        <f>VLOOKUP(A194,Main!$A$4:$B$17,2,0)</f>
        <v>KHULNA</v>
      </c>
      <c r="C194" s="1" t="s">
        <v>28</v>
      </c>
      <c r="D194" s="1" cm="1">
        <f t="array" ref="D194">_xlfn.XLOOKUP(Sheet2!C194,'Insights &amp; Interpretation'!$B$3:$B$16,'Insights &amp; Interpretation'!$A$3:A$16,0)</f>
        <v>8</v>
      </c>
      <c r="E194" s="1">
        <v>1217</v>
      </c>
    </row>
    <row r="195" spans="1:5" x14ac:dyDescent="0.3">
      <c r="A195" s="1" t="s">
        <v>0</v>
      </c>
      <c r="B195" s="1" t="str">
        <f>VLOOKUP(A195,Main!$A$4:$B$17,2,0)</f>
        <v>BARISHAL</v>
      </c>
      <c r="C195" s="1" t="s">
        <v>28</v>
      </c>
      <c r="D195" s="1" cm="1">
        <f t="array" ref="D195">_xlfn.XLOOKUP(Sheet2!C195,'Insights &amp; Interpretation'!$B$3:$B$16,'Insights &amp; Interpretation'!$A$3:A$16,0)</f>
        <v>8</v>
      </c>
      <c r="E195" s="1">
        <v>27</v>
      </c>
    </row>
    <row r="196" spans="1:5" x14ac:dyDescent="0.3">
      <c r="A196" s="1" t="s">
        <v>9</v>
      </c>
      <c r="B196" s="1" t="str">
        <f>VLOOKUP(A196,Main!$A$4:$B$17,2,0)</f>
        <v>RAJSHAHI</v>
      </c>
      <c r="C196" s="1" t="s">
        <v>28</v>
      </c>
      <c r="D196" s="1" cm="1">
        <f t="array" ref="D196">_xlfn.XLOOKUP(Sheet2!C196,'Insights &amp; Interpretation'!$B$3:$B$16,'Insights &amp; Interpretation'!$A$3:A$16,0)</f>
        <v>8</v>
      </c>
      <c r="E196" s="1">
        <v>2072</v>
      </c>
    </row>
    <row r="197" spans="1:5" x14ac:dyDescent="0.3">
      <c r="A197" s="1" t="s">
        <v>10</v>
      </c>
      <c r="B197" s="1" t="str">
        <f>VLOOKUP(A197,Main!$A$4:$B$17,2,0)</f>
        <v>RANGPUR</v>
      </c>
      <c r="C197" s="1" t="s">
        <v>28</v>
      </c>
      <c r="D197" s="1" cm="1">
        <f t="array" ref="D197">_xlfn.XLOOKUP(Sheet2!C197,'Insights &amp; Interpretation'!$B$3:$B$16,'Insights &amp; Interpretation'!$A$3:A$16,0)</f>
        <v>8</v>
      </c>
      <c r="E197" s="1">
        <v>1355</v>
      </c>
    </row>
    <row r="198" spans="1:5" x14ac:dyDescent="0.3">
      <c r="A198" s="1" t="s">
        <v>8</v>
      </c>
      <c r="B198" s="1" t="str">
        <f>VLOOKUP(A198,Main!$A$4:$B$17,2,0)</f>
        <v>RAILWAY</v>
      </c>
      <c r="C198" s="1" t="s">
        <v>28</v>
      </c>
      <c r="D198" s="1" cm="1">
        <f t="array" ref="D198">_xlfn.XLOOKUP(Sheet2!C198,'Insights &amp; Interpretation'!$B$3:$B$16,'Insights &amp; Interpretation'!$A$3:A$16,0)</f>
        <v>8</v>
      </c>
      <c r="E198" s="1">
        <v>118</v>
      </c>
    </row>
  </sheetData>
  <autoFilter ref="A2:E198" xr:uid="{C45113E1-3BA8-4E3D-87B5-274E6DD177A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4758-742E-4E26-A2E9-6E394E44473F}">
  <dimension ref="A1:B12"/>
  <sheetViews>
    <sheetView workbookViewId="0">
      <selection activeCell="N9" sqref="N9"/>
    </sheetView>
  </sheetViews>
  <sheetFormatPr defaultRowHeight="14.4" x14ac:dyDescent="0.3"/>
  <cols>
    <col min="1" max="1" width="12.5546875" bestFit="1" customWidth="1"/>
    <col min="2" max="2" width="12.109375" bestFit="1" customWidth="1"/>
  </cols>
  <sheetData>
    <row r="1" spans="1:2" x14ac:dyDescent="0.3">
      <c r="A1" s="41" t="s">
        <v>50</v>
      </c>
      <c r="B1" t="s">
        <v>25</v>
      </c>
    </row>
    <row r="3" spans="1:2" x14ac:dyDescent="0.3">
      <c r="A3" s="41" t="s">
        <v>42</v>
      </c>
      <c r="B3" t="s">
        <v>68</v>
      </c>
    </row>
    <row r="4" spans="1:2" x14ac:dyDescent="0.3">
      <c r="A4" s="42" t="s">
        <v>37</v>
      </c>
      <c r="B4">
        <v>43</v>
      </c>
    </row>
    <row r="5" spans="1:2" x14ac:dyDescent="0.3">
      <c r="A5" s="42" t="s">
        <v>39</v>
      </c>
      <c r="B5">
        <v>599</v>
      </c>
    </row>
    <row r="6" spans="1:2" x14ac:dyDescent="0.3">
      <c r="A6" s="42" t="s">
        <v>34</v>
      </c>
      <c r="B6">
        <v>630</v>
      </c>
    </row>
    <row r="7" spans="1:2" x14ac:dyDescent="0.3">
      <c r="A7" s="42" t="s">
        <v>35</v>
      </c>
      <c r="B7">
        <v>351</v>
      </c>
    </row>
    <row r="8" spans="1:2" x14ac:dyDescent="0.3">
      <c r="A8" s="42" t="s">
        <v>41</v>
      </c>
      <c r="B8">
        <v>4</v>
      </c>
    </row>
    <row r="9" spans="1:2" x14ac:dyDescent="0.3">
      <c r="A9" s="42" t="s">
        <v>36</v>
      </c>
      <c r="B9">
        <v>336</v>
      </c>
    </row>
    <row r="10" spans="1:2" x14ac:dyDescent="0.3">
      <c r="A10" s="42" t="s">
        <v>40</v>
      </c>
      <c r="B10">
        <v>53</v>
      </c>
    </row>
    <row r="11" spans="1:2" x14ac:dyDescent="0.3">
      <c r="A11" s="42" t="s">
        <v>38</v>
      </c>
      <c r="B11">
        <v>65</v>
      </c>
    </row>
    <row r="12" spans="1:2" x14ac:dyDescent="0.3">
      <c r="A12" s="42" t="s">
        <v>43</v>
      </c>
      <c r="B12">
        <v>2081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F6BF-D81E-47CA-AA26-372BFAB44CF4}">
  <dimension ref="A1:E71"/>
  <sheetViews>
    <sheetView workbookViewId="0">
      <selection activeCell="H8" sqref="H8"/>
    </sheetView>
  </sheetViews>
  <sheetFormatPr defaultRowHeight="14.4" x14ac:dyDescent="0.3"/>
  <sheetData>
    <row r="1" spans="1:5" x14ac:dyDescent="0.3">
      <c r="A1" s="18" t="s">
        <v>14</v>
      </c>
      <c r="B1" s="18" t="s">
        <v>76</v>
      </c>
      <c r="C1" s="18" t="s">
        <v>50</v>
      </c>
      <c r="D1" s="18" t="s">
        <v>49</v>
      </c>
      <c r="E1" s="18" t="s">
        <v>67</v>
      </c>
    </row>
    <row r="2" spans="1:5" x14ac:dyDescent="0.3">
      <c r="A2" s="1" t="s">
        <v>5</v>
      </c>
      <c r="B2" s="1" t="s">
        <v>34</v>
      </c>
      <c r="C2" s="1" t="s">
        <v>15</v>
      </c>
      <c r="D2" s="1">
        <v>2</v>
      </c>
      <c r="E2" s="1">
        <v>45</v>
      </c>
    </row>
    <row r="3" spans="1:5" x14ac:dyDescent="0.3">
      <c r="A3" s="1" t="s">
        <v>3</v>
      </c>
      <c r="B3" s="1" t="s">
        <v>39</v>
      </c>
      <c r="C3" s="1" t="s">
        <v>15</v>
      </c>
      <c r="D3" s="1">
        <v>2</v>
      </c>
      <c r="E3" s="1">
        <v>5</v>
      </c>
    </row>
    <row r="4" spans="1:5" x14ac:dyDescent="0.3">
      <c r="A4" s="1" t="s">
        <v>7</v>
      </c>
      <c r="B4" s="1" t="s">
        <v>35</v>
      </c>
      <c r="C4" s="1" t="s">
        <v>15</v>
      </c>
      <c r="D4" s="1">
        <v>2</v>
      </c>
      <c r="E4" s="1">
        <v>9</v>
      </c>
    </row>
    <row r="5" spans="1:5" x14ac:dyDescent="0.3">
      <c r="A5" s="1" t="s">
        <v>11</v>
      </c>
      <c r="B5" s="1" t="s">
        <v>36</v>
      </c>
      <c r="C5" s="1" t="s">
        <v>15</v>
      </c>
      <c r="D5" s="1">
        <v>2</v>
      </c>
      <c r="E5" s="1">
        <v>0</v>
      </c>
    </row>
    <row r="6" spans="1:5" x14ac:dyDescent="0.3">
      <c r="A6" s="1" t="s">
        <v>1</v>
      </c>
      <c r="B6" s="1" t="s">
        <v>37</v>
      </c>
      <c r="C6" s="1" t="s">
        <v>15</v>
      </c>
      <c r="D6" s="1">
        <v>2</v>
      </c>
      <c r="E6" s="1">
        <v>2</v>
      </c>
    </row>
    <row r="7" spans="1:5" x14ac:dyDescent="0.3">
      <c r="A7" s="1" t="s">
        <v>12</v>
      </c>
      <c r="B7" s="1" t="s">
        <v>38</v>
      </c>
      <c r="C7" s="1" t="s">
        <v>15</v>
      </c>
      <c r="D7" s="1">
        <v>2</v>
      </c>
      <c r="E7" s="1">
        <v>19</v>
      </c>
    </row>
    <row r="8" spans="1:5" x14ac:dyDescent="0.3">
      <c r="A8" s="1" t="s">
        <v>4</v>
      </c>
      <c r="B8" s="1" t="s">
        <v>34</v>
      </c>
      <c r="C8" s="1" t="s">
        <v>15</v>
      </c>
      <c r="D8" s="1">
        <v>2</v>
      </c>
      <c r="E8" s="1">
        <v>150</v>
      </c>
    </row>
    <row r="9" spans="1:5" x14ac:dyDescent="0.3">
      <c r="A9" s="1" t="s">
        <v>2</v>
      </c>
      <c r="B9" s="1" t="s">
        <v>39</v>
      </c>
      <c r="C9" s="1" t="s">
        <v>15</v>
      </c>
      <c r="D9" s="1">
        <v>2</v>
      </c>
      <c r="E9" s="1">
        <v>107</v>
      </c>
    </row>
    <row r="10" spans="1:5" x14ac:dyDescent="0.3">
      <c r="A10" s="1" t="s">
        <v>13</v>
      </c>
      <c r="B10" s="1" t="s">
        <v>38</v>
      </c>
      <c r="C10" s="1" t="s">
        <v>15</v>
      </c>
      <c r="D10" s="1">
        <v>2</v>
      </c>
      <c r="E10" s="1">
        <v>26</v>
      </c>
    </row>
    <row r="11" spans="1:5" x14ac:dyDescent="0.3">
      <c r="A11" s="1" t="s">
        <v>6</v>
      </c>
      <c r="B11" s="1" t="s">
        <v>35</v>
      </c>
      <c r="C11" s="1" t="s">
        <v>15</v>
      </c>
      <c r="D11" s="1">
        <v>2</v>
      </c>
      <c r="E11" s="1">
        <v>41</v>
      </c>
    </row>
    <row r="12" spans="1:5" x14ac:dyDescent="0.3">
      <c r="A12" s="1" t="s">
        <v>0</v>
      </c>
      <c r="B12" s="1" t="s">
        <v>37</v>
      </c>
      <c r="C12" s="1" t="s">
        <v>15</v>
      </c>
      <c r="D12" s="1">
        <v>2</v>
      </c>
      <c r="E12" s="1">
        <v>31</v>
      </c>
    </row>
    <row r="13" spans="1:5" x14ac:dyDescent="0.3">
      <c r="A13" s="1" t="s">
        <v>9</v>
      </c>
      <c r="B13" s="1" t="s">
        <v>36</v>
      </c>
      <c r="C13" s="1" t="s">
        <v>15</v>
      </c>
      <c r="D13" s="1">
        <v>2</v>
      </c>
      <c r="E13" s="1">
        <v>37</v>
      </c>
    </row>
    <row r="14" spans="1:5" x14ac:dyDescent="0.3">
      <c r="A14" s="1" t="s">
        <v>10</v>
      </c>
      <c r="B14" s="1" t="s">
        <v>40</v>
      </c>
      <c r="C14" s="1" t="s">
        <v>15</v>
      </c>
      <c r="D14" s="1">
        <v>2</v>
      </c>
      <c r="E14" s="1">
        <v>17</v>
      </c>
    </row>
    <row r="15" spans="1:5" x14ac:dyDescent="0.3">
      <c r="A15" s="1" t="s">
        <v>8</v>
      </c>
      <c r="B15" s="1" t="s">
        <v>41</v>
      </c>
      <c r="C15" s="1" t="s">
        <v>15</v>
      </c>
      <c r="D15" s="1">
        <v>2</v>
      </c>
      <c r="E15" s="1">
        <v>2</v>
      </c>
    </row>
    <row r="16" spans="1:5" x14ac:dyDescent="0.3">
      <c r="A16" s="1" t="s">
        <v>5</v>
      </c>
      <c r="B16" s="1" t="s">
        <v>34</v>
      </c>
      <c r="C16" s="1" t="s">
        <v>17</v>
      </c>
      <c r="D16" s="1">
        <v>1</v>
      </c>
      <c r="E16" s="1">
        <v>239</v>
      </c>
    </row>
    <row r="17" spans="1:5" x14ac:dyDescent="0.3">
      <c r="A17" s="1" t="s">
        <v>3</v>
      </c>
      <c r="B17" s="1" t="s">
        <v>39</v>
      </c>
      <c r="C17" s="1" t="s">
        <v>17</v>
      </c>
      <c r="D17" s="1">
        <v>1</v>
      </c>
      <c r="E17" s="1">
        <v>105</v>
      </c>
    </row>
    <row r="18" spans="1:5" x14ac:dyDescent="0.3">
      <c r="A18" s="1" t="s">
        <v>7</v>
      </c>
      <c r="B18" s="1" t="s">
        <v>35</v>
      </c>
      <c r="C18" s="1" t="s">
        <v>17</v>
      </c>
      <c r="D18" s="1">
        <v>1</v>
      </c>
      <c r="E18" s="1">
        <v>30</v>
      </c>
    </row>
    <row r="19" spans="1:5" x14ac:dyDescent="0.3">
      <c r="A19" s="1" t="s">
        <v>11</v>
      </c>
      <c r="B19" s="1" t="s">
        <v>36</v>
      </c>
      <c r="C19" s="1" t="s">
        <v>17</v>
      </c>
      <c r="D19" s="1">
        <v>1</v>
      </c>
      <c r="E19" s="1">
        <v>20</v>
      </c>
    </row>
    <row r="20" spans="1:5" x14ac:dyDescent="0.3">
      <c r="A20" s="1" t="s">
        <v>1</v>
      </c>
      <c r="B20" s="1" t="s">
        <v>37</v>
      </c>
      <c r="C20" s="1" t="s">
        <v>17</v>
      </c>
      <c r="D20" s="1">
        <v>1</v>
      </c>
      <c r="E20" s="1">
        <v>15</v>
      </c>
    </row>
    <row r="21" spans="1:5" x14ac:dyDescent="0.3">
      <c r="A21" s="1" t="s">
        <v>12</v>
      </c>
      <c r="B21" s="1" t="s">
        <v>38</v>
      </c>
      <c r="C21" s="1" t="s">
        <v>17</v>
      </c>
      <c r="D21" s="1">
        <v>1</v>
      </c>
      <c r="E21" s="1">
        <v>37</v>
      </c>
    </row>
    <row r="22" spans="1:5" x14ac:dyDescent="0.3">
      <c r="A22" s="1" t="s">
        <v>4</v>
      </c>
      <c r="B22" s="1" t="s">
        <v>34</v>
      </c>
      <c r="C22" s="1" t="s">
        <v>17</v>
      </c>
      <c r="D22" s="1">
        <v>1</v>
      </c>
      <c r="E22" s="1">
        <v>1237</v>
      </c>
    </row>
    <row r="23" spans="1:5" x14ac:dyDescent="0.3">
      <c r="A23" s="1" t="s">
        <v>2</v>
      </c>
      <c r="B23" s="1" t="s">
        <v>39</v>
      </c>
      <c r="C23" s="1" t="s">
        <v>17</v>
      </c>
      <c r="D23" s="1">
        <v>1</v>
      </c>
      <c r="E23" s="1">
        <v>688</v>
      </c>
    </row>
    <row r="24" spans="1:5" x14ac:dyDescent="0.3">
      <c r="A24" s="1" t="s">
        <v>13</v>
      </c>
      <c r="B24" s="1" t="s">
        <v>38</v>
      </c>
      <c r="C24" s="1" t="s">
        <v>17</v>
      </c>
      <c r="D24" s="1">
        <v>1</v>
      </c>
      <c r="E24" s="1">
        <v>252</v>
      </c>
    </row>
    <row r="25" spans="1:5" x14ac:dyDescent="0.3">
      <c r="A25" s="1" t="s">
        <v>6</v>
      </c>
      <c r="B25" s="1" t="s">
        <v>35</v>
      </c>
      <c r="C25" s="1" t="s">
        <v>17</v>
      </c>
      <c r="D25" s="1">
        <v>1</v>
      </c>
      <c r="E25" s="1">
        <v>439</v>
      </c>
    </row>
    <row r="26" spans="1:5" x14ac:dyDescent="0.3">
      <c r="A26" s="1" t="s">
        <v>0</v>
      </c>
      <c r="B26" s="1" t="s">
        <v>37</v>
      </c>
      <c r="C26" s="1" t="s">
        <v>17</v>
      </c>
      <c r="D26" s="1">
        <v>1</v>
      </c>
      <c r="E26" s="1">
        <v>175</v>
      </c>
    </row>
    <row r="27" spans="1:5" x14ac:dyDescent="0.3">
      <c r="A27" s="1" t="s">
        <v>9</v>
      </c>
      <c r="B27" s="1" t="s">
        <v>36</v>
      </c>
      <c r="C27" s="1" t="s">
        <v>17</v>
      </c>
      <c r="D27" s="1">
        <v>1</v>
      </c>
      <c r="E27" s="1">
        <v>446</v>
      </c>
    </row>
    <row r="28" spans="1:5" x14ac:dyDescent="0.3">
      <c r="A28" s="1" t="s">
        <v>10</v>
      </c>
      <c r="B28" s="1" t="s">
        <v>40</v>
      </c>
      <c r="C28" s="1" t="s">
        <v>17</v>
      </c>
      <c r="D28" s="1">
        <v>1</v>
      </c>
      <c r="E28" s="1">
        <v>328</v>
      </c>
    </row>
    <row r="29" spans="1:5" x14ac:dyDescent="0.3">
      <c r="A29" s="1" t="s">
        <v>8</v>
      </c>
      <c r="B29" s="1" t="s">
        <v>41</v>
      </c>
      <c r="C29" s="1" t="s">
        <v>17</v>
      </c>
      <c r="D29" s="1">
        <v>1</v>
      </c>
      <c r="E29" s="1">
        <v>24</v>
      </c>
    </row>
    <row r="30" spans="1:5" x14ac:dyDescent="0.3">
      <c r="A30" s="1" t="s">
        <v>5</v>
      </c>
      <c r="B30" s="1" t="s">
        <v>34</v>
      </c>
      <c r="C30" s="1" t="s">
        <v>20</v>
      </c>
      <c r="D30" s="1">
        <v>3</v>
      </c>
      <c r="E30" s="1">
        <v>1550</v>
      </c>
    </row>
    <row r="31" spans="1:5" x14ac:dyDescent="0.3">
      <c r="A31" s="1" t="s">
        <v>3</v>
      </c>
      <c r="B31" s="1" t="s">
        <v>39</v>
      </c>
      <c r="C31" s="1" t="s">
        <v>20</v>
      </c>
      <c r="D31" s="1">
        <v>3</v>
      </c>
      <c r="E31" s="1">
        <v>357</v>
      </c>
    </row>
    <row r="32" spans="1:5" x14ac:dyDescent="0.3">
      <c r="A32" s="1" t="s">
        <v>7</v>
      </c>
      <c r="B32" s="1" t="s">
        <v>35</v>
      </c>
      <c r="C32" s="1" t="s">
        <v>20</v>
      </c>
      <c r="D32" s="1">
        <v>3</v>
      </c>
      <c r="E32" s="1">
        <v>146</v>
      </c>
    </row>
    <row r="33" spans="1:5" x14ac:dyDescent="0.3">
      <c r="A33" s="1" t="s">
        <v>11</v>
      </c>
      <c r="B33" s="1" t="s">
        <v>36</v>
      </c>
      <c r="C33" s="1" t="s">
        <v>20</v>
      </c>
      <c r="D33" s="1">
        <v>3</v>
      </c>
      <c r="E33" s="1">
        <v>131</v>
      </c>
    </row>
    <row r="34" spans="1:5" x14ac:dyDescent="0.3">
      <c r="A34" s="1" t="s">
        <v>1</v>
      </c>
      <c r="B34" s="1" t="s">
        <v>37</v>
      </c>
      <c r="C34" s="1" t="s">
        <v>20</v>
      </c>
      <c r="D34" s="1">
        <v>3</v>
      </c>
      <c r="E34" s="1">
        <v>110</v>
      </c>
    </row>
    <row r="35" spans="1:5" x14ac:dyDescent="0.3">
      <c r="A35" s="1" t="s">
        <v>12</v>
      </c>
      <c r="B35" s="1" t="s">
        <v>38</v>
      </c>
      <c r="C35" s="1" t="s">
        <v>20</v>
      </c>
      <c r="D35" s="1">
        <v>3</v>
      </c>
      <c r="E35" s="1">
        <v>139</v>
      </c>
    </row>
    <row r="36" spans="1:5" x14ac:dyDescent="0.3">
      <c r="A36" s="1" t="s">
        <v>4</v>
      </c>
      <c r="B36" s="1" t="s">
        <v>34</v>
      </c>
      <c r="C36" s="1" t="s">
        <v>20</v>
      </c>
      <c r="D36" s="1">
        <v>3</v>
      </c>
      <c r="E36" s="1">
        <v>5052</v>
      </c>
    </row>
    <row r="37" spans="1:5" x14ac:dyDescent="0.3">
      <c r="A37" s="1" t="s">
        <v>2</v>
      </c>
      <c r="B37" s="1" t="s">
        <v>39</v>
      </c>
      <c r="C37" s="1" t="s">
        <v>20</v>
      </c>
      <c r="D37" s="1">
        <v>3</v>
      </c>
      <c r="E37" s="1">
        <v>3886</v>
      </c>
    </row>
    <row r="38" spans="1:5" x14ac:dyDescent="0.3">
      <c r="A38" s="1" t="s">
        <v>13</v>
      </c>
      <c r="B38" s="1" t="s">
        <v>38</v>
      </c>
      <c r="C38" s="1" t="s">
        <v>20</v>
      </c>
      <c r="D38" s="1">
        <v>3</v>
      </c>
      <c r="E38" s="1">
        <v>943</v>
      </c>
    </row>
    <row r="39" spans="1:5" x14ac:dyDescent="0.3">
      <c r="A39" s="1" t="s">
        <v>6</v>
      </c>
      <c r="B39" s="1" t="s">
        <v>35</v>
      </c>
      <c r="C39" s="1" t="s">
        <v>20</v>
      </c>
      <c r="D39" s="1">
        <v>3</v>
      </c>
      <c r="E39" s="1">
        <v>3478</v>
      </c>
    </row>
    <row r="40" spans="1:5" x14ac:dyDescent="0.3">
      <c r="A40" s="1" t="s">
        <v>0</v>
      </c>
      <c r="B40" s="1" t="s">
        <v>37</v>
      </c>
      <c r="C40" s="1" t="s">
        <v>20</v>
      </c>
      <c r="D40" s="1">
        <v>3</v>
      </c>
      <c r="E40" s="1">
        <v>1497</v>
      </c>
    </row>
    <row r="41" spans="1:5" x14ac:dyDescent="0.3">
      <c r="A41" s="1" t="s">
        <v>9</v>
      </c>
      <c r="B41" s="1" t="s">
        <v>36</v>
      </c>
      <c r="C41" s="1" t="s">
        <v>20</v>
      </c>
      <c r="D41" s="1">
        <v>3</v>
      </c>
      <c r="E41" s="1">
        <v>2339</v>
      </c>
    </row>
    <row r="42" spans="1:5" x14ac:dyDescent="0.3">
      <c r="A42" s="1" t="s">
        <v>10</v>
      </c>
      <c r="B42" s="1" t="s">
        <v>40</v>
      </c>
      <c r="C42" s="1" t="s">
        <v>20</v>
      </c>
      <c r="D42" s="1">
        <v>3</v>
      </c>
      <c r="E42" s="1">
        <v>2587</v>
      </c>
    </row>
    <row r="43" spans="1:5" x14ac:dyDescent="0.3">
      <c r="A43" s="1" t="s">
        <v>8</v>
      </c>
      <c r="B43" s="1" t="s">
        <v>41</v>
      </c>
      <c r="C43" s="1" t="s">
        <v>20</v>
      </c>
      <c r="D43" s="1">
        <v>3</v>
      </c>
      <c r="E43" s="1">
        <v>5</v>
      </c>
    </row>
    <row r="44" spans="1:5" x14ac:dyDescent="0.3">
      <c r="A44" s="1" t="s">
        <v>5</v>
      </c>
      <c r="B44" s="1" t="s">
        <v>34</v>
      </c>
      <c r="C44" s="1" t="s">
        <v>21</v>
      </c>
      <c r="D44" s="1">
        <v>4</v>
      </c>
      <c r="E44" s="1">
        <v>146</v>
      </c>
    </row>
    <row r="45" spans="1:5" x14ac:dyDescent="0.3">
      <c r="A45" s="1" t="s">
        <v>3</v>
      </c>
      <c r="B45" s="1" t="s">
        <v>39</v>
      </c>
      <c r="C45" s="1" t="s">
        <v>21</v>
      </c>
      <c r="D45" s="1">
        <v>4</v>
      </c>
      <c r="E45" s="1">
        <v>51</v>
      </c>
    </row>
    <row r="46" spans="1:5" x14ac:dyDescent="0.3">
      <c r="A46" s="1" t="s">
        <v>7</v>
      </c>
      <c r="B46" s="1" t="s">
        <v>35</v>
      </c>
      <c r="C46" s="1" t="s">
        <v>21</v>
      </c>
      <c r="D46" s="1">
        <v>4</v>
      </c>
      <c r="E46" s="1">
        <v>7</v>
      </c>
    </row>
    <row r="47" spans="1:5" x14ac:dyDescent="0.3">
      <c r="A47" s="1" t="s">
        <v>11</v>
      </c>
      <c r="B47" s="1" t="s">
        <v>36</v>
      </c>
      <c r="C47" s="1" t="s">
        <v>21</v>
      </c>
      <c r="D47" s="1">
        <v>4</v>
      </c>
      <c r="E47" s="1">
        <v>8</v>
      </c>
    </row>
    <row r="48" spans="1:5" x14ac:dyDescent="0.3">
      <c r="A48" s="1" t="s">
        <v>1</v>
      </c>
      <c r="B48" s="1" t="s">
        <v>37</v>
      </c>
      <c r="C48" s="1" t="s">
        <v>21</v>
      </c>
      <c r="D48" s="1">
        <v>4</v>
      </c>
      <c r="E48" s="1">
        <v>4</v>
      </c>
    </row>
    <row r="49" spans="1:5" x14ac:dyDescent="0.3">
      <c r="A49" s="1" t="s">
        <v>12</v>
      </c>
      <c r="B49" s="1" t="s">
        <v>38</v>
      </c>
      <c r="C49" s="1" t="s">
        <v>21</v>
      </c>
      <c r="D49" s="1">
        <v>4</v>
      </c>
      <c r="E49" s="1">
        <v>10</v>
      </c>
    </row>
    <row r="50" spans="1:5" x14ac:dyDescent="0.3">
      <c r="A50" s="1" t="s">
        <v>4</v>
      </c>
      <c r="B50" s="1" t="s">
        <v>34</v>
      </c>
      <c r="C50" s="1" t="s">
        <v>21</v>
      </c>
      <c r="D50" s="1">
        <v>4</v>
      </c>
      <c r="E50" s="1">
        <v>205</v>
      </c>
    </row>
    <row r="51" spans="1:5" x14ac:dyDescent="0.3">
      <c r="A51" s="1" t="s">
        <v>2</v>
      </c>
      <c r="B51" s="1" t="s">
        <v>39</v>
      </c>
      <c r="C51" s="1" t="s">
        <v>21</v>
      </c>
      <c r="D51" s="1">
        <v>4</v>
      </c>
      <c r="E51" s="1">
        <v>98</v>
      </c>
    </row>
    <row r="52" spans="1:5" x14ac:dyDescent="0.3">
      <c r="A52" s="1" t="s">
        <v>13</v>
      </c>
      <c r="B52" s="1" t="s">
        <v>38</v>
      </c>
      <c r="C52" s="1" t="s">
        <v>21</v>
      </c>
      <c r="D52" s="1">
        <v>4</v>
      </c>
      <c r="E52" s="1">
        <v>33</v>
      </c>
    </row>
    <row r="53" spans="1:5" x14ac:dyDescent="0.3">
      <c r="A53" s="1" t="s">
        <v>6</v>
      </c>
      <c r="B53" s="1" t="s">
        <v>35</v>
      </c>
      <c r="C53" s="1" t="s">
        <v>21</v>
      </c>
      <c r="D53" s="1">
        <v>4</v>
      </c>
      <c r="E53" s="1">
        <v>79</v>
      </c>
    </row>
    <row r="54" spans="1:5" x14ac:dyDescent="0.3">
      <c r="A54" s="1" t="s">
        <v>0</v>
      </c>
      <c r="B54" s="1" t="s">
        <v>37</v>
      </c>
      <c r="C54" s="1" t="s">
        <v>21</v>
      </c>
      <c r="D54" s="1">
        <v>4</v>
      </c>
      <c r="E54" s="1">
        <v>53</v>
      </c>
    </row>
    <row r="55" spans="1:5" x14ac:dyDescent="0.3">
      <c r="A55" s="1" t="s">
        <v>9</v>
      </c>
      <c r="B55" s="1" t="s">
        <v>36</v>
      </c>
      <c r="C55" s="1" t="s">
        <v>21</v>
      </c>
      <c r="D55" s="1">
        <v>4</v>
      </c>
      <c r="E55" s="1">
        <v>70</v>
      </c>
    </row>
    <row r="56" spans="1:5" x14ac:dyDescent="0.3">
      <c r="A56" s="1" t="s">
        <v>10</v>
      </c>
      <c r="B56" s="1" t="s">
        <v>40</v>
      </c>
      <c r="C56" s="1" t="s">
        <v>21</v>
      </c>
      <c r="D56" s="1">
        <v>4</v>
      </c>
      <c r="E56" s="1">
        <v>34</v>
      </c>
    </row>
    <row r="57" spans="1:5" x14ac:dyDescent="0.3">
      <c r="A57" s="1" t="s">
        <v>8</v>
      </c>
      <c r="B57" s="1" t="s">
        <v>41</v>
      </c>
      <c r="C57" s="1" t="s">
        <v>21</v>
      </c>
      <c r="D57" s="1">
        <v>4</v>
      </c>
      <c r="E57" s="1">
        <v>8</v>
      </c>
    </row>
    <row r="58" spans="1:5" x14ac:dyDescent="0.3">
      <c r="A58" s="1" t="s">
        <v>5</v>
      </c>
      <c r="B58" s="1" t="s">
        <v>34</v>
      </c>
      <c r="C58" s="1" t="s">
        <v>25</v>
      </c>
      <c r="D58" s="1">
        <v>5</v>
      </c>
      <c r="E58" s="1">
        <v>263</v>
      </c>
    </row>
    <row r="59" spans="1:5" x14ac:dyDescent="0.3">
      <c r="A59" s="1" t="s">
        <v>3</v>
      </c>
      <c r="B59" s="1" t="s">
        <v>39</v>
      </c>
      <c r="C59" s="1" t="s">
        <v>25</v>
      </c>
      <c r="D59" s="1">
        <v>5</v>
      </c>
      <c r="E59" s="1">
        <v>101</v>
      </c>
    </row>
    <row r="60" spans="1:5" x14ac:dyDescent="0.3">
      <c r="A60" s="1" t="s">
        <v>7</v>
      </c>
      <c r="B60" s="1" t="s">
        <v>35</v>
      </c>
      <c r="C60" s="1" t="s">
        <v>25</v>
      </c>
      <c r="D60" s="1">
        <v>5</v>
      </c>
      <c r="E60" s="1">
        <v>21</v>
      </c>
    </row>
    <row r="61" spans="1:5" x14ac:dyDescent="0.3">
      <c r="A61" s="1" t="s">
        <v>11</v>
      </c>
      <c r="B61" s="1" t="s">
        <v>36</v>
      </c>
      <c r="C61" s="1" t="s">
        <v>25</v>
      </c>
      <c r="D61" s="1">
        <v>5</v>
      </c>
      <c r="E61" s="1">
        <v>23</v>
      </c>
    </row>
    <row r="62" spans="1:5" x14ac:dyDescent="0.3">
      <c r="A62" s="1" t="s">
        <v>1</v>
      </c>
      <c r="B62" s="1" t="s">
        <v>37</v>
      </c>
      <c r="C62" s="1" t="s">
        <v>25</v>
      </c>
      <c r="D62" s="1">
        <v>5</v>
      </c>
      <c r="E62" s="1">
        <v>17</v>
      </c>
    </row>
    <row r="63" spans="1:5" x14ac:dyDescent="0.3">
      <c r="A63" s="1" t="s">
        <v>12</v>
      </c>
      <c r="B63" s="1" t="s">
        <v>38</v>
      </c>
      <c r="C63" s="1" t="s">
        <v>25</v>
      </c>
      <c r="D63" s="1">
        <v>5</v>
      </c>
      <c r="E63" s="1">
        <v>11</v>
      </c>
    </row>
    <row r="64" spans="1:5" x14ac:dyDescent="0.3">
      <c r="A64" s="1" t="s">
        <v>4</v>
      </c>
      <c r="B64" s="1" t="s">
        <v>34</v>
      </c>
      <c r="C64" s="1" t="s">
        <v>25</v>
      </c>
      <c r="D64" s="1">
        <v>5</v>
      </c>
      <c r="E64" s="1">
        <v>367</v>
      </c>
    </row>
    <row r="65" spans="1:5" x14ac:dyDescent="0.3">
      <c r="A65" s="1" t="s">
        <v>2</v>
      </c>
      <c r="B65" s="1" t="s">
        <v>39</v>
      </c>
      <c r="C65" s="1" t="s">
        <v>25</v>
      </c>
      <c r="D65" s="1">
        <v>5</v>
      </c>
      <c r="E65" s="1">
        <v>498</v>
      </c>
    </row>
    <row r="66" spans="1:5" x14ac:dyDescent="0.3">
      <c r="A66" s="1" t="s">
        <v>13</v>
      </c>
      <c r="B66" s="1" t="s">
        <v>38</v>
      </c>
      <c r="C66" s="1" t="s">
        <v>25</v>
      </c>
      <c r="D66" s="1">
        <v>5</v>
      </c>
      <c r="E66" s="1">
        <v>54</v>
      </c>
    </row>
    <row r="67" spans="1:5" x14ac:dyDescent="0.3">
      <c r="A67" s="1" t="s">
        <v>6</v>
      </c>
      <c r="B67" s="1" t="s">
        <v>35</v>
      </c>
      <c r="C67" s="1" t="s">
        <v>25</v>
      </c>
      <c r="D67" s="1">
        <v>5</v>
      </c>
      <c r="E67" s="1">
        <v>330</v>
      </c>
    </row>
    <row r="68" spans="1:5" x14ac:dyDescent="0.3">
      <c r="A68" s="1" t="s">
        <v>0</v>
      </c>
      <c r="B68" s="1" t="s">
        <v>37</v>
      </c>
      <c r="C68" s="1" t="s">
        <v>25</v>
      </c>
      <c r="D68" s="1">
        <v>5</v>
      </c>
      <c r="E68" s="1">
        <v>26</v>
      </c>
    </row>
    <row r="69" spans="1:5" x14ac:dyDescent="0.3">
      <c r="A69" s="1" t="s">
        <v>9</v>
      </c>
      <c r="B69" s="1" t="s">
        <v>36</v>
      </c>
      <c r="C69" s="1" t="s">
        <v>25</v>
      </c>
      <c r="D69" s="1">
        <v>5</v>
      </c>
      <c r="E69" s="1">
        <v>313</v>
      </c>
    </row>
    <row r="70" spans="1:5" x14ac:dyDescent="0.3">
      <c r="A70" s="1" t="s">
        <v>10</v>
      </c>
      <c r="B70" s="1" t="s">
        <v>40</v>
      </c>
      <c r="C70" s="1" t="s">
        <v>25</v>
      </c>
      <c r="D70" s="1">
        <v>5</v>
      </c>
      <c r="E70" s="1">
        <v>53</v>
      </c>
    </row>
    <row r="71" spans="1:5" x14ac:dyDescent="0.3">
      <c r="A71" s="1" t="s">
        <v>8</v>
      </c>
      <c r="B71" s="1" t="s">
        <v>41</v>
      </c>
      <c r="C71" s="1" t="s">
        <v>25</v>
      </c>
      <c r="D71" s="1">
        <v>5</v>
      </c>
      <c r="E71" s="1">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612A-046D-4BE9-9AEA-C8BAF5CD2CFA}">
  <dimension ref="A1:B18"/>
  <sheetViews>
    <sheetView workbookViewId="0">
      <selection activeCell="AN9" sqref="AN9"/>
    </sheetView>
  </sheetViews>
  <sheetFormatPr defaultRowHeight="14.4" x14ac:dyDescent="0.3"/>
  <cols>
    <col min="1" max="1" width="23.33203125" bestFit="1" customWidth="1"/>
    <col min="2" max="3" width="11.77734375" bestFit="1" customWidth="1"/>
  </cols>
  <sheetData>
    <row r="1" spans="1:2" x14ac:dyDescent="0.3">
      <c r="A1" s="20" t="s">
        <v>14</v>
      </c>
      <c r="B1" s="8" t="s">
        <v>1</v>
      </c>
    </row>
    <row r="3" spans="1:2" x14ac:dyDescent="0.3">
      <c r="A3" s="2" t="s">
        <v>42</v>
      </c>
      <c r="B3" s="3" t="s">
        <v>68</v>
      </c>
    </row>
    <row r="4" spans="1:2" x14ac:dyDescent="0.3">
      <c r="A4" s="4" t="s">
        <v>25</v>
      </c>
      <c r="B4" s="3">
        <v>17</v>
      </c>
    </row>
    <row r="5" spans="1:2" x14ac:dyDescent="0.3">
      <c r="A5" s="5" t="s">
        <v>23</v>
      </c>
      <c r="B5" s="6">
        <v>33</v>
      </c>
    </row>
    <row r="6" spans="1:2" x14ac:dyDescent="0.3">
      <c r="A6" s="5" t="s">
        <v>15</v>
      </c>
      <c r="B6" s="6">
        <v>2</v>
      </c>
    </row>
    <row r="7" spans="1:2" x14ac:dyDescent="0.3">
      <c r="A7" s="5" t="s">
        <v>26</v>
      </c>
      <c r="B7" s="6">
        <v>0</v>
      </c>
    </row>
    <row r="8" spans="1:2" x14ac:dyDescent="0.3">
      <c r="A8" s="5" t="s">
        <v>21</v>
      </c>
      <c r="B8" s="6">
        <v>4</v>
      </c>
    </row>
    <row r="9" spans="1:2" x14ac:dyDescent="0.3">
      <c r="A9" s="5" t="s">
        <v>17</v>
      </c>
      <c r="B9" s="6">
        <v>15</v>
      </c>
    </row>
    <row r="10" spans="1:2" x14ac:dyDescent="0.3">
      <c r="A10" s="5" t="s">
        <v>27</v>
      </c>
      <c r="B10" s="6">
        <v>557</v>
      </c>
    </row>
    <row r="11" spans="1:2" x14ac:dyDescent="0.3">
      <c r="A11" s="5" t="s">
        <v>22</v>
      </c>
      <c r="B11" s="6">
        <v>8</v>
      </c>
    </row>
    <row r="12" spans="1:2" x14ac:dyDescent="0.3">
      <c r="A12" s="5" t="s">
        <v>19</v>
      </c>
      <c r="B12" s="6">
        <v>0</v>
      </c>
    </row>
    <row r="13" spans="1:2" x14ac:dyDescent="0.3">
      <c r="A13" s="5" t="s">
        <v>16</v>
      </c>
      <c r="B13" s="6">
        <v>11</v>
      </c>
    </row>
    <row r="14" spans="1:2" x14ac:dyDescent="0.3">
      <c r="A14" s="5" t="s">
        <v>28</v>
      </c>
      <c r="B14" s="6">
        <v>2</v>
      </c>
    </row>
    <row r="15" spans="1:2" x14ac:dyDescent="0.3">
      <c r="A15" s="5" t="s">
        <v>18</v>
      </c>
      <c r="B15" s="6">
        <v>5</v>
      </c>
    </row>
    <row r="16" spans="1:2" x14ac:dyDescent="0.3">
      <c r="A16" s="5" t="s">
        <v>24</v>
      </c>
      <c r="B16" s="6">
        <v>50</v>
      </c>
    </row>
    <row r="17" spans="1:2" x14ac:dyDescent="0.3">
      <c r="A17" s="5" t="s">
        <v>20</v>
      </c>
      <c r="B17" s="6">
        <v>110</v>
      </c>
    </row>
    <row r="18" spans="1:2" x14ac:dyDescent="0.3">
      <c r="A18" s="7" t="s">
        <v>43</v>
      </c>
      <c r="B18" s="8">
        <v>814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FB4B-E53D-40FA-8937-351DA47A715C}">
  <dimension ref="A1:T20"/>
  <sheetViews>
    <sheetView workbookViewId="0">
      <selection activeCell="R19" sqref="R19:R20"/>
    </sheetView>
  </sheetViews>
  <sheetFormatPr defaultRowHeight="14.4" x14ac:dyDescent="0.3"/>
  <cols>
    <col min="1" max="1" width="16.5546875" bestFit="1" customWidth="1"/>
    <col min="2" max="2" width="15.33203125" customWidth="1"/>
    <col min="3" max="3" width="7.21875" bestFit="1" customWidth="1"/>
    <col min="4" max="4" width="7.77734375" bestFit="1" customWidth="1"/>
    <col min="5" max="5" width="7" bestFit="1" customWidth="1"/>
    <col min="6" max="6" width="10.77734375" bestFit="1" customWidth="1"/>
    <col min="7" max="7" width="7.33203125" customWidth="1"/>
    <col min="8" max="8" width="23.33203125" bestFit="1" customWidth="1"/>
    <col min="9" max="9" width="9.77734375" bestFit="1" customWidth="1"/>
    <col min="10" max="10" width="12.109375" bestFit="1" customWidth="1"/>
    <col min="11" max="11" width="7.6640625" bestFit="1" customWidth="1"/>
    <col min="12" max="12" width="6.5546875" bestFit="1" customWidth="1"/>
    <col min="13" max="13" width="10.33203125" bestFit="1" customWidth="1"/>
    <col min="14" max="14" width="13.77734375" bestFit="1" customWidth="1"/>
    <col min="15" max="15" width="8.5546875" bestFit="1" customWidth="1"/>
    <col min="16" max="16" width="8.77734375" bestFit="1" customWidth="1"/>
    <col min="17" max="17" width="9" bestFit="1" customWidth="1"/>
    <col min="18" max="18" width="10.5546875" bestFit="1" customWidth="1"/>
    <col min="19" max="19" width="10.5546875" customWidth="1"/>
    <col min="20" max="20" width="13.5546875" bestFit="1" customWidth="1"/>
  </cols>
  <sheetData>
    <row r="1" spans="1:20" ht="24" thickBot="1" x14ac:dyDescent="0.5">
      <c r="A1" s="50" t="s">
        <v>32</v>
      </c>
      <c r="B1" s="50"/>
      <c r="C1" s="50"/>
      <c r="D1" s="50"/>
      <c r="E1" s="50"/>
      <c r="F1" s="50"/>
      <c r="G1" s="50"/>
      <c r="H1" s="50"/>
      <c r="I1" s="50"/>
      <c r="J1" s="50"/>
      <c r="K1" s="50"/>
      <c r="L1" s="50"/>
      <c r="M1" s="50"/>
      <c r="N1" s="50"/>
      <c r="O1" s="50"/>
      <c r="P1" s="50"/>
      <c r="Q1" s="50"/>
    </row>
    <row r="2" spans="1:20" x14ac:dyDescent="0.3">
      <c r="A2" s="1"/>
      <c r="B2" s="1"/>
      <c r="C2" s="1"/>
      <c r="D2" s="1"/>
      <c r="E2" s="1"/>
      <c r="F2" s="1"/>
      <c r="G2" s="1"/>
      <c r="H2" s="1"/>
      <c r="I2" s="1"/>
      <c r="J2" s="1"/>
      <c r="K2" s="1"/>
      <c r="L2" s="1"/>
      <c r="M2" s="1"/>
      <c r="N2" s="47" t="s">
        <v>30</v>
      </c>
      <c r="O2" s="48"/>
      <c r="P2" s="48"/>
      <c r="Q2" s="49"/>
    </row>
    <row r="3" spans="1:20" x14ac:dyDescent="0.3">
      <c r="A3" s="18" t="s">
        <v>14</v>
      </c>
      <c r="B3" s="18" t="s">
        <v>33</v>
      </c>
      <c r="C3" s="18" t="s">
        <v>15</v>
      </c>
      <c r="D3" s="18" t="s">
        <v>16</v>
      </c>
      <c r="E3" s="18" t="s">
        <v>17</v>
      </c>
      <c r="F3" s="18" t="s">
        <v>18</v>
      </c>
      <c r="G3" s="18" t="s">
        <v>19</v>
      </c>
      <c r="H3" s="18" t="s">
        <v>20</v>
      </c>
      <c r="I3" s="18" t="s">
        <v>21</v>
      </c>
      <c r="J3" s="18" t="s">
        <v>22</v>
      </c>
      <c r="K3" s="18" t="s">
        <v>23</v>
      </c>
      <c r="L3" s="18" t="s">
        <v>24</v>
      </c>
      <c r="M3" s="18" t="s">
        <v>29</v>
      </c>
      <c r="N3" s="18" t="s">
        <v>25</v>
      </c>
      <c r="O3" s="18" t="s">
        <v>26</v>
      </c>
      <c r="P3" s="18" t="s">
        <v>27</v>
      </c>
      <c r="Q3" s="18" t="s">
        <v>28</v>
      </c>
      <c r="R3" s="18" t="s">
        <v>45</v>
      </c>
      <c r="S3" s="18" t="s">
        <v>49</v>
      </c>
      <c r="T3" s="18" t="s">
        <v>46</v>
      </c>
    </row>
    <row r="4" spans="1:20" x14ac:dyDescent="0.3">
      <c r="A4" s="19" t="s">
        <v>5</v>
      </c>
      <c r="B4" s="19" t="s">
        <v>34</v>
      </c>
      <c r="C4" s="19">
        <v>45</v>
      </c>
      <c r="D4" s="19">
        <v>205</v>
      </c>
      <c r="E4" s="19">
        <v>239</v>
      </c>
      <c r="F4" s="19">
        <v>226</v>
      </c>
      <c r="G4" s="19">
        <v>26</v>
      </c>
      <c r="H4" s="19">
        <v>1550</v>
      </c>
      <c r="I4" s="19">
        <v>146</v>
      </c>
      <c r="J4" s="19">
        <v>118</v>
      </c>
      <c r="K4" s="19">
        <v>642</v>
      </c>
      <c r="L4" s="19">
        <v>1711</v>
      </c>
      <c r="M4" s="19">
        <v>5795</v>
      </c>
      <c r="N4" s="19">
        <v>263</v>
      </c>
      <c r="O4" s="19">
        <v>195</v>
      </c>
      <c r="P4" s="19">
        <v>8365</v>
      </c>
      <c r="Q4" s="19">
        <v>201</v>
      </c>
      <c r="R4" s="21">
        <f t="shared" ref="R4:R18" si="0">SUM(C4:Q4)</f>
        <v>19727</v>
      </c>
      <c r="S4" s="22">
        <f>RANK(R4,($R$4:$R$17),0)</f>
        <v>3</v>
      </c>
      <c r="T4" s="22">
        <f>SUM(N4:Q4)</f>
        <v>9024</v>
      </c>
    </row>
    <row r="5" spans="1:20" x14ac:dyDescent="0.3">
      <c r="A5" s="19" t="s">
        <v>3</v>
      </c>
      <c r="B5" s="19" t="s">
        <v>39</v>
      </c>
      <c r="C5" s="19">
        <v>5</v>
      </c>
      <c r="D5" s="19">
        <v>61</v>
      </c>
      <c r="E5" s="19">
        <v>105</v>
      </c>
      <c r="F5" s="19">
        <v>67</v>
      </c>
      <c r="G5" s="19">
        <v>25</v>
      </c>
      <c r="H5" s="19">
        <v>357</v>
      </c>
      <c r="I5" s="19">
        <v>51</v>
      </c>
      <c r="J5" s="19">
        <v>30</v>
      </c>
      <c r="K5" s="19">
        <v>128</v>
      </c>
      <c r="L5" s="19">
        <v>262</v>
      </c>
      <c r="M5" s="19">
        <v>1497</v>
      </c>
      <c r="N5" s="19">
        <v>101</v>
      </c>
      <c r="O5" s="19">
        <v>40</v>
      </c>
      <c r="P5" s="19">
        <v>2090</v>
      </c>
      <c r="Q5" s="19">
        <v>43</v>
      </c>
      <c r="R5" s="21">
        <f t="shared" si="0"/>
        <v>4862</v>
      </c>
      <c r="S5" s="22">
        <f t="shared" ref="S5:S17" si="1">RANK(R5,($R$4:$R$17),0)</f>
        <v>9</v>
      </c>
      <c r="T5" s="22">
        <f t="shared" ref="T5:T18" si="2">SUM(N5:Q5)</f>
        <v>2274</v>
      </c>
    </row>
    <row r="6" spans="1:20" x14ac:dyDescent="0.3">
      <c r="A6" s="19" t="s">
        <v>7</v>
      </c>
      <c r="B6" s="19" t="s">
        <v>35</v>
      </c>
      <c r="C6" s="19">
        <v>9</v>
      </c>
      <c r="D6" s="19">
        <v>15</v>
      </c>
      <c r="E6" s="19">
        <v>30</v>
      </c>
      <c r="F6" s="19">
        <v>19</v>
      </c>
      <c r="G6" s="19">
        <v>0</v>
      </c>
      <c r="H6" s="19">
        <v>146</v>
      </c>
      <c r="I6" s="19">
        <v>7</v>
      </c>
      <c r="J6" s="19">
        <v>3</v>
      </c>
      <c r="K6" s="19">
        <v>49</v>
      </c>
      <c r="L6" s="19">
        <v>95</v>
      </c>
      <c r="M6" s="19">
        <v>574</v>
      </c>
      <c r="N6" s="19">
        <v>21</v>
      </c>
      <c r="O6" s="19">
        <v>13</v>
      </c>
      <c r="P6" s="19">
        <v>659</v>
      </c>
      <c r="Q6" s="19">
        <v>2</v>
      </c>
      <c r="R6" s="21">
        <f t="shared" si="0"/>
        <v>1642</v>
      </c>
      <c r="S6" s="22">
        <f t="shared" si="1"/>
        <v>11</v>
      </c>
      <c r="T6" s="22">
        <f t="shared" si="2"/>
        <v>695</v>
      </c>
    </row>
    <row r="7" spans="1:20" x14ac:dyDescent="0.3">
      <c r="A7" s="19" t="s">
        <v>11</v>
      </c>
      <c r="B7" s="19" t="s">
        <v>36</v>
      </c>
      <c r="C7" s="19">
        <v>0</v>
      </c>
      <c r="D7" s="19">
        <v>19</v>
      </c>
      <c r="E7" s="19">
        <v>20</v>
      </c>
      <c r="F7" s="19">
        <v>12</v>
      </c>
      <c r="G7" s="19">
        <v>4</v>
      </c>
      <c r="H7" s="19">
        <v>131</v>
      </c>
      <c r="I7" s="19">
        <v>8</v>
      </c>
      <c r="J7" s="19">
        <v>18</v>
      </c>
      <c r="K7" s="19">
        <v>39</v>
      </c>
      <c r="L7" s="19">
        <v>66</v>
      </c>
      <c r="M7" s="19">
        <v>463</v>
      </c>
      <c r="N7" s="19">
        <v>23</v>
      </c>
      <c r="O7" s="19">
        <v>30</v>
      </c>
      <c r="P7" s="19">
        <v>733</v>
      </c>
      <c r="Q7" s="19">
        <v>179</v>
      </c>
      <c r="R7" s="21">
        <f t="shared" si="0"/>
        <v>1745</v>
      </c>
      <c r="S7" s="22">
        <f t="shared" si="1"/>
        <v>10</v>
      </c>
      <c r="T7" s="22">
        <f t="shared" si="2"/>
        <v>965</v>
      </c>
    </row>
    <row r="8" spans="1:20" x14ac:dyDescent="0.3">
      <c r="A8" s="19" t="s">
        <v>1</v>
      </c>
      <c r="B8" s="19" t="s">
        <v>37</v>
      </c>
      <c r="C8" s="19">
        <v>2</v>
      </c>
      <c r="D8" s="19">
        <v>11</v>
      </c>
      <c r="E8" s="19">
        <v>15</v>
      </c>
      <c r="F8" s="19">
        <v>5</v>
      </c>
      <c r="G8" s="19">
        <v>0</v>
      </c>
      <c r="H8" s="19">
        <v>110</v>
      </c>
      <c r="I8" s="19">
        <v>4</v>
      </c>
      <c r="J8" s="19">
        <v>8</v>
      </c>
      <c r="K8" s="19">
        <v>33</v>
      </c>
      <c r="L8" s="19">
        <v>50</v>
      </c>
      <c r="M8" s="19">
        <v>371</v>
      </c>
      <c r="N8" s="19">
        <v>17</v>
      </c>
      <c r="O8" s="19">
        <v>0</v>
      </c>
      <c r="P8" s="19">
        <v>557</v>
      </c>
      <c r="Q8" s="19">
        <v>2</v>
      </c>
      <c r="R8" s="21">
        <f t="shared" si="0"/>
        <v>1185</v>
      </c>
      <c r="S8" s="22">
        <f t="shared" si="1"/>
        <v>13</v>
      </c>
      <c r="T8" s="22">
        <f t="shared" si="2"/>
        <v>576</v>
      </c>
    </row>
    <row r="9" spans="1:20" x14ac:dyDescent="0.3">
      <c r="A9" s="19" t="s">
        <v>12</v>
      </c>
      <c r="B9" s="19" t="s">
        <v>38</v>
      </c>
      <c r="C9" s="19">
        <v>19</v>
      </c>
      <c r="D9" s="19">
        <v>14</v>
      </c>
      <c r="E9" s="19">
        <v>37</v>
      </c>
      <c r="F9" s="19">
        <v>22</v>
      </c>
      <c r="G9" s="19">
        <v>4</v>
      </c>
      <c r="H9" s="19">
        <v>139</v>
      </c>
      <c r="I9" s="19">
        <v>10</v>
      </c>
      <c r="J9" s="19">
        <v>8</v>
      </c>
      <c r="K9" s="19">
        <v>25</v>
      </c>
      <c r="L9" s="19">
        <v>89</v>
      </c>
      <c r="M9" s="19">
        <v>819</v>
      </c>
      <c r="N9" s="19">
        <v>11</v>
      </c>
      <c r="O9" s="19">
        <v>5</v>
      </c>
      <c r="P9" s="19">
        <v>183</v>
      </c>
      <c r="Q9" s="19">
        <v>8</v>
      </c>
      <c r="R9" s="21">
        <f t="shared" si="0"/>
        <v>1393</v>
      </c>
      <c r="S9" s="22">
        <f t="shared" si="1"/>
        <v>12</v>
      </c>
      <c r="T9" s="22">
        <f t="shared" si="2"/>
        <v>207</v>
      </c>
    </row>
    <row r="10" spans="1:20" x14ac:dyDescent="0.3">
      <c r="A10" s="19" t="s">
        <v>4</v>
      </c>
      <c r="B10" s="19" t="s">
        <v>34</v>
      </c>
      <c r="C10" s="19">
        <v>150</v>
      </c>
      <c r="D10" s="19">
        <v>164</v>
      </c>
      <c r="E10" s="19">
        <v>1237</v>
      </c>
      <c r="F10" s="19">
        <v>558</v>
      </c>
      <c r="G10" s="19">
        <v>0</v>
      </c>
      <c r="H10" s="19">
        <v>5052</v>
      </c>
      <c r="I10" s="19">
        <v>205</v>
      </c>
      <c r="J10" s="19">
        <v>113</v>
      </c>
      <c r="K10" s="19">
        <v>471</v>
      </c>
      <c r="L10" s="19">
        <v>1565</v>
      </c>
      <c r="M10" s="19">
        <v>20522</v>
      </c>
      <c r="N10" s="19">
        <v>367</v>
      </c>
      <c r="O10" s="19">
        <v>68</v>
      </c>
      <c r="P10" s="19">
        <v>12430</v>
      </c>
      <c r="Q10" s="19">
        <v>520</v>
      </c>
      <c r="R10" s="21">
        <f t="shared" si="0"/>
        <v>43422</v>
      </c>
      <c r="S10" s="22">
        <f t="shared" si="1"/>
        <v>1</v>
      </c>
      <c r="T10" s="22">
        <f t="shared" si="2"/>
        <v>13385</v>
      </c>
    </row>
    <row r="11" spans="1:20" x14ac:dyDescent="0.3">
      <c r="A11" s="19" t="s">
        <v>2</v>
      </c>
      <c r="B11" s="19" t="s">
        <v>39</v>
      </c>
      <c r="C11" s="19">
        <v>107</v>
      </c>
      <c r="D11" s="19">
        <v>133</v>
      </c>
      <c r="E11" s="19">
        <v>688</v>
      </c>
      <c r="F11" s="19">
        <v>151</v>
      </c>
      <c r="G11" s="19">
        <v>28</v>
      </c>
      <c r="H11" s="19">
        <v>3886</v>
      </c>
      <c r="I11" s="19">
        <v>98</v>
      </c>
      <c r="J11" s="19">
        <v>163</v>
      </c>
      <c r="K11" s="19">
        <v>406</v>
      </c>
      <c r="L11" s="19">
        <v>906</v>
      </c>
      <c r="M11" s="19">
        <v>13618</v>
      </c>
      <c r="N11" s="19">
        <v>498</v>
      </c>
      <c r="O11" s="19">
        <v>59</v>
      </c>
      <c r="P11" s="19">
        <v>8012</v>
      </c>
      <c r="Q11" s="19">
        <v>224</v>
      </c>
      <c r="R11" s="21">
        <f t="shared" si="0"/>
        <v>28977</v>
      </c>
      <c r="S11" s="22">
        <f t="shared" si="1"/>
        <v>2</v>
      </c>
      <c r="T11" s="22">
        <f t="shared" si="2"/>
        <v>8793</v>
      </c>
    </row>
    <row r="12" spans="1:20" x14ac:dyDescent="0.3">
      <c r="A12" s="19" t="s">
        <v>13</v>
      </c>
      <c r="B12" s="19" t="s">
        <v>38</v>
      </c>
      <c r="C12" s="19">
        <v>26</v>
      </c>
      <c r="D12" s="19">
        <v>26</v>
      </c>
      <c r="E12" s="19">
        <v>252</v>
      </c>
      <c r="F12" s="19">
        <v>70</v>
      </c>
      <c r="G12" s="19">
        <v>3</v>
      </c>
      <c r="H12" s="19">
        <v>943</v>
      </c>
      <c r="I12" s="19">
        <v>33</v>
      </c>
      <c r="J12" s="19">
        <v>43</v>
      </c>
      <c r="K12" s="19">
        <v>76</v>
      </c>
      <c r="L12" s="19">
        <v>326</v>
      </c>
      <c r="M12" s="19">
        <v>5445</v>
      </c>
      <c r="N12" s="19">
        <v>54</v>
      </c>
      <c r="O12" s="19">
        <v>11</v>
      </c>
      <c r="P12" s="19">
        <v>3787</v>
      </c>
      <c r="Q12" s="19">
        <v>211</v>
      </c>
      <c r="R12" s="21">
        <f t="shared" si="0"/>
        <v>11306</v>
      </c>
      <c r="S12" s="22">
        <f t="shared" si="1"/>
        <v>8</v>
      </c>
      <c r="T12" s="22">
        <f t="shared" si="2"/>
        <v>4063</v>
      </c>
    </row>
    <row r="13" spans="1:20" x14ac:dyDescent="0.3">
      <c r="A13" s="19" t="s">
        <v>6</v>
      </c>
      <c r="B13" s="19" t="s">
        <v>35</v>
      </c>
      <c r="C13" s="19">
        <v>41</v>
      </c>
      <c r="D13" s="19">
        <v>112</v>
      </c>
      <c r="E13" s="19">
        <v>439</v>
      </c>
      <c r="F13" s="19">
        <v>151</v>
      </c>
      <c r="G13" s="19">
        <v>2</v>
      </c>
      <c r="H13" s="19">
        <v>3478</v>
      </c>
      <c r="I13" s="19">
        <v>79</v>
      </c>
      <c r="J13" s="19">
        <v>41</v>
      </c>
      <c r="K13" s="19">
        <v>250</v>
      </c>
      <c r="L13" s="19">
        <v>513</v>
      </c>
      <c r="M13" s="19">
        <v>8972</v>
      </c>
      <c r="N13" s="19">
        <v>330</v>
      </c>
      <c r="O13" s="19">
        <v>119</v>
      </c>
      <c r="P13" s="19">
        <v>1020</v>
      </c>
      <c r="Q13" s="19">
        <v>1217</v>
      </c>
      <c r="R13" s="21">
        <f t="shared" si="0"/>
        <v>16764</v>
      </c>
      <c r="S13" s="22">
        <f t="shared" si="1"/>
        <v>5</v>
      </c>
      <c r="T13" s="22">
        <f t="shared" si="2"/>
        <v>2686</v>
      </c>
    </row>
    <row r="14" spans="1:20" x14ac:dyDescent="0.3">
      <c r="A14" s="19" t="s">
        <v>0</v>
      </c>
      <c r="B14" s="19" t="s">
        <v>37</v>
      </c>
      <c r="C14" s="19">
        <v>31</v>
      </c>
      <c r="D14" s="19">
        <v>47</v>
      </c>
      <c r="E14" s="19">
        <v>175</v>
      </c>
      <c r="F14" s="19">
        <v>58</v>
      </c>
      <c r="G14" s="19">
        <v>1</v>
      </c>
      <c r="H14" s="19">
        <v>1497</v>
      </c>
      <c r="I14" s="19">
        <v>53</v>
      </c>
      <c r="J14" s="19">
        <v>20</v>
      </c>
      <c r="K14" s="19">
        <v>156</v>
      </c>
      <c r="L14" s="19">
        <v>266</v>
      </c>
      <c r="M14" s="19">
        <v>6766</v>
      </c>
      <c r="N14" s="19">
        <v>26</v>
      </c>
      <c r="O14" s="19">
        <v>22</v>
      </c>
      <c r="P14" s="19">
        <v>5797</v>
      </c>
      <c r="Q14" s="19">
        <v>27</v>
      </c>
      <c r="R14" s="21">
        <f t="shared" si="0"/>
        <v>14942</v>
      </c>
      <c r="S14" s="22">
        <f t="shared" si="1"/>
        <v>7</v>
      </c>
      <c r="T14" s="22">
        <f t="shared" si="2"/>
        <v>5872</v>
      </c>
    </row>
    <row r="15" spans="1:20" x14ac:dyDescent="0.3">
      <c r="A15" s="19" t="s">
        <v>9</v>
      </c>
      <c r="B15" s="19" t="s">
        <v>36</v>
      </c>
      <c r="C15" s="19">
        <v>37</v>
      </c>
      <c r="D15" s="19">
        <v>66</v>
      </c>
      <c r="E15" s="19">
        <v>446</v>
      </c>
      <c r="F15" s="19">
        <v>159</v>
      </c>
      <c r="G15" s="19">
        <v>0</v>
      </c>
      <c r="H15" s="19">
        <v>2339</v>
      </c>
      <c r="I15" s="19">
        <v>70</v>
      </c>
      <c r="J15" s="19">
        <v>40</v>
      </c>
      <c r="K15" s="19">
        <v>72</v>
      </c>
      <c r="L15" s="19">
        <v>441</v>
      </c>
      <c r="M15" s="19">
        <v>9259</v>
      </c>
      <c r="N15" s="19">
        <v>313</v>
      </c>
      <c r="O15" s="19">
        <v>144</v>
      </c>
      <c r="P15" s="19">
        <v>1988</v>
      </c>
      <c r="Q15" s="19">
        <v>2072</v>
      </c>
      <c r="R15" s="21">
        <f t="shared" si="0"/>
        <v>17446</v>
      </c>
      <c r="S15" s="22">
        <f t="shared" si="1"/>
        <v>4</v>
      </c>
      <c r="T15" s="22">
        <f t="shared" si="2"/>
        <v>4517</v>
      </c>
    </row>
    <row r="16" spans="1:20" x14ac:dyDescent="0.3">
      <c r="A16" s="19" t="s">
        <v>10</v>
      </c>
      <c r="B16" s="19" t="s">
        <v>40</v>
      </c>
      <c r="C16" s="19">
        <v>17</v>
      </c>
      <c r="D16" s="19">
        <v>50</v>
      </c>
      <c r="E16" s="19">
        <v>328</v>
      </c>
      <c r="F16" s="19">
        <v>44</v>
      </c>
      <c r="G16" s="19">
        <v>0</v>
      </c>
      <c r="H16" s="19">
        <v>2587</v>
      </c>
      <c r="I16" s="19">
        <v>34</v>
      </c>
      <c r="J16" s="19">
        <v>23</v>
      </c>
      <c r="K16" s="19">
        <v>146</v>
      </c>
      <c r="L16" s="19">
        <v>460</v>
      </c>
      <c r="M16" s="19">
        <v>9898</v>
      </c>
      <c r="N16" s="19">
        <v>53</v>
      </c>
      <c r="O16" s="19">
        <v>10</v>
      </c>
      <c r="P16" s="19">
        <v>496</v>
      </c>
      <c r="Q16" s="19">
        <v>1355</v>
      </c>
      <c r="R16" s="21">
        <f t="shared" si="0"/>
        <v>15501</v>
      </c>
      <c r="S16" s="22">
        <f t="shared" si="1"/>
        <v>6</v>
      </c>
      <c r="T16" s="22">
        <f t="shared" si="2"/>
        <v>1914</v>
      </c>
    </row>
    <row r="17" spans="1:20" x14ac:dyDescent="0.3">
      <c r="A17" s="19" t="s">
        <v>8</v>
      </c>
      <c r="B17" s="19" t="s">
        <v>41</v>
      </c>
      <c r="C17" s="19">
        <v>2</v>
      </c>
      <c r="D17" s="19">
        <v>10</v>
      </c>
      <c r="E17" s="19">
        <v>24</v>
      </c>
      <c r="F17" s="19">
        <v>2</v>
      </c>
      <c r="G17" s="19">
        <v>0</v>
      </c>
      <c r="H17" s="19">
        <v>5</v>
      </c>
      <c r="I17" s="19">
        <v>8</v>
      </c>
      <c r="J17" s="19">
        <v>1</v>
      </c>
      <c r="K17" s="19">
        <v>1</v>
      </c>
      <c r="L17" s="19">
        <v>71</v>
      </c>
      <c r="M17" s="19">
        <v>138</v>
      </c>
      <c r="N17" s="19">
        <v>4</v>
      </c>
      <c r="O17" s="19">
        <v>9</v>
      </c>
      <c r="P17" s="19">
        <v>395</v>
      </c>
      <c r="Q17" s="19">
        <v>118</v>
      </c>
      <c r="R17" s="21">
        <f t="shared" si="0"/>
        <v>788</v>
      </c>
      <c r="S17" s="22">
        <f t="shared" si="1"/>
        <v>14</v>
      </c>
      <c r="T17" s="22">
        <f t="shared" si="2"/>
        <v>526</v>
      </c>
    </row>
    <row r="18" spans="1:20" x14ac:dyDescent="0.3">
      <c r="A18" s="19" t="s">
        <v>31</v>
      </c>
      <c r="B18" s="19"/>
      <c r="C18" s="19">
        <v>491</v>
      </c>
      <c r="D18" s="19">
        <v>933</v>
      </c>
      <c r="E18" s="19">
        <v>4035</v>
      </c>
      <c r="F18" s="19">
        <v>1544</v>
      </c>
      <c r="G18" s="19">
        <v>93</v>
      </c>
      <c r="H18" s="19">
        <v>21220</v>
      </c>
      <c r="I18" s="19">
        <v>806</v>
      </c>
      <c r="J18" s="19">
        <v>629</v>
      </c>
      <c r="K18" s="19">
        <v>2494</v>
      </c>
      <c r="L18" s="19">
        <v>6821</v>
      </c>
      <c r="M18" s="19">
        <v>84137</v>
      </c>
      <c r="N18" s="19">
        <v>2081</v>
      </c>
      <c r="O18" s="19">
        <v>725</v>
      </c>
      <c r="P18" s="19">
        <v>47692</v>
      </c>
      <c r="Q18" s="19">
        <v>6179</v>
      </c>
      <c r="R18" s="21">
        <f t="shared" si="0"/>
        <v>179880</v>
      </c>
      <c r="S18" s="21"/>
      <c r="T18" s="22">
        <f t="shared" si="2"/>
        <v>56677</v>
      </c>
    </row>
    <row r="19" spans="1:20" x14ac:dyDescent="0.3">
      <c r="A19" s="18" t="s">
        <v>97</v>
      </c>
      <c r="B19" s="22"/>
      <c r="C19" s="45">
        <f>AVERAGE(C4:C17)</f>
        <v>35.071428571428569</v>
      </c>
      <c r="D19" s="45">
        <f t="shared" ref="D19:R19" si="3">AVERAGE(D4:D17)</f>
        <v>66.642857142857139</v>
      </c>
      <c r="E19" s="45">
        <f t="shared" si="3"/>
        <v>288.21428571428572</v>
      </c>
      <c r="F19" s="45">
        <f t="shared" si="3"/>
        <v>110.28571428571429</v>
      </c>
      <c r="G19" s="45">
        <f t="shared" si="3"/>
        <v>6.6428571428571432</v>
      </c>
      <c r="H19" s="45">
        <f t="shared" si="3"/>
        <v>1587.1428571428571</v>
      </c>
      <c r="I19" s="45">
        <f t="shared" si="3"/>
        <v>57.571428571428569</v>
      </c>
      <c r="J19" s="45">
        <f t="shared" si="3"/>
        <v>44.928571428571431</v>
      </c>
      <c r="K19" s="45">
        <f t="shared" si="3"/>
        <v>178.14285714285714</v>
      </c>
      <c r="L19" s="45">
        <f t="shared" si="3"/>
        <v>487.21428571428572</v>
      </c>
      <c r="M19" s="45">
        <f t="shared" si="3"/>
        <v>6009.7857142857147</v>
      </c>
      <c r="N19" s="45">
        <f t="shared" si="3"/>
        <v>148.64285714285714</v>
      </c>
      <c r="O19" s="45">
        <f t="shared" si="3"/>
        <v>51.785714285714285</v>
      </c>
      <c r="P19" s="45">
        <f t="shared" si="3"/>
        <v>3322.2857142857142</v>
      </c>
      <c r="Q19" s="45">
        <f t="shared" si="3"/>
        <v>441.35714285714283</v>
      </c>
      <c r="R19" s="46">
        <f t="shared" si="3"/>
        <v>12835.714285714286</v>
      </c>
    </row>
    <row r="20" spans="1:20" x14ac:dyDescent="0.3">
      <c r="A20" s="18" t="s">
        <v>98</v>
      </c>
      <c r="B20" s="22"/>
      <c r="C20" s="18">
        <f>_xlfn.STDEV.S(C4:C17)</f>
        <v>43.149943017547344</v>
      </c>
      <c r="D20" s="45">
        <f t="shared" ref="D20:R20" si="4">_xlfn.STDEV.S(D4:D17)</f>
        <v>62.904820828903752</v>
      </c>
      <c r="E20" s="45">
        <f t="shared" si="4"/>
        <v>340.30917584578168</v>
      </c>
      <c r="F20" s="45">
        <f t="shared" si="4"/>
        <v>146.43162151741603</v>
      </c>
      <c r="G20" s="45">
        <f t="shared" si="4"/>
        <v>10.788934094761117</v>
      </c>
      <c r="H20" s="45">
        <f t="shared" si="4"/>
        <v>1648.9504754023603</v>
      </c>
      <c r="I20" s="45">
        <f t="shared" si="4"/>
        <v>59.246180384138604</v>
      </c>
      <c r="J20" s="45">
        <f t="shared" si="4"/>
        <v>49.940679096017789</v>
      </c>
      <c r="K20" s="45">
        <f t="shared" si="4"/>
        <v>195.26820102021304</v>
      </c>
      <c r="L20" s="45">
        <f t="shared" si="4"/>
        <v>541.93828467419087</v>
      </c>
      <c r="M20" s="45">
        <f t="shared" si="4"/>
        <v>6062.332899249157</v>
      </c>
      <c r="N20" s="45">
        <f t="shared" si="4"/>
        <v>168.11241986922238</v>
      </c>
      <c r="O20" s="45">
        <f t="shared" si="4"/>
        <v>60.10398498426715</v>
      </c>
      <c r="P20" s="45">
        <f t="shared" si="4"/>
        <v>3854.7541761105545</v>
      </c>
      <c r="Q20" s="45">
        <f t="shared" si="4"/>
        <v>640.74867353539071</v>
      </c>
      <c r="R20" s="46">
        <f t="shared" si="4"/>
        <v>12458.61996573254</v>
      </c>
    </row>
  </sheetData>
  <mergeCells count="2">
    <mergeCell ref="N2:Q2"/>
    <mergeCell ref="A1:Q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39BA-BE74-4F29-A010-555687D3184C}">
  <dimension ref="A1:O10"/>
  <sheetViews>
    <sheetView workbookViewId="0">
      <selection activeCell="B27" sqref="B27"/>
    </sheetView>
  </sheetViews>
  <sheetFormatPr defaultRowHeight="14.4" x14ac:dyDescent="0.3"/>
  <cols>
    <col min="1" max="1" width="12.109375" bestFit="1" customWidth="1"/>
    <col min="5" max="5" width="11.21875" bestFit="1" customWidth="1"/>
    <col min="6" max="6" width="10.21875" customWidth="1"/>
    <col min="7" max="7" width="24.109375" bestFit="1" customWidth="1"/>
    <col min="8" max="8" width="12.21875" customWidth="1"/>
    <col min="9" max="9" width="12.44140625" bestFit="1" customWidth="1"/>
    <col min="10" max="10" width="8" bestFit="1" customWidth="1"/>
    <col min="11" max="11" width="5.44140625" bestFit="1" customWidth="1"/>
    <col min="12" max="12" width="8.5546875" bestFit="1" customWidth="1"/>
    <col min="13" max="13" width="8.77734375" bestFit="1" customWidth="1"/>
  </cols>
  <sheetData>
    <row r="1" spans="1:15" ht="15" thickBot="1" x14ac:dyDescent="0.35"/>
    <row r="2" spans="1:15" x14ac:dyDescent="0.3">
      <c r="A2" s="23"/>
      <c r="B2" s="24" t="s">
        <v>15</v>
      </c>
      <c r="C2" s="24" t="s">
        <v>16</v>
      </c>
      <c r="D2" s="24" t="s">
        <v>17</v>
      </c>
      <c r="E2" s="24" t="s">
        <v>18</v>
      </c>
      <c r="F2" s="24" t="s">
        <v>19</v>
      </c>
      <c r="G2" s="24" t="s">
        <v>20</v>
      </c>
      <c r="H2" s="24" t="s">
        <v>21</v>
      </c>
      <c r="I2" s="24" t="s">
        <v>22</v>
      </c>
      <c r="J2" s="24" t="s">
        <v>23</v>
      </c>
      <c r="K2" s="24" t="s">
        <v>24</v>
      </c>
      <c r="L2" s="24" t="s">
        <v>25</v>
      </c>
      <c r="M2" s="24" t="s">
        <v>26</v>
      </c>
      <c r="N2" s="24" t="s">
        <v>27</v>
      </c>
      <c r="O2" s="25" t="s">
        <v>28</v>
      </c>
    </row>
    <row r="3" spans="1:15" x14ac:dyDescent="0.3">
      <c r="A3" s="26" t="s">
        <v>34</v>
      </c>
      <c r="B3" s="27" cm="1">
        <f t="array" ref="B3">SUMPRODUCT((Main!$C$4:$Q$17)*(Main!$B$4:$B$17=Heatmap!$A$3)*(Main!$C$3:$Q$3=Heatmap!B2))</f>
        <v>195</v>
      </c>
      <c r="C3" s="27" cm="1">
        <f t="array" ref="C3">SUMPRODUCT((Main!$C$4:$Q$17)*(Main!$B$4:$B$17=Heatmap!$A$3)*(Main!$C$3:$Q$3=Heatmap!C2))</f>
        <v>369</v>
      </c>
      <c r="D3" s="27" cm="1">
        <f t="array" ref="D3">SUMPRODUCT((Main!$C$4:$Q$17)*(Main!$B$4:$B$17=Heatmap!$A$3)*(Main!$C$3:$Q$3=Heatmap!D2))</f>
        <v>1476</v>
      </c>
      <c r="E3" s="27" cm="1">
        <f t="array" ref="E3">SUMPRODUCT((Main!$C$4:$Q$17)*(Main!$B$4:$B$17=Heatmap!$A$3)*(Main!$C$3:$Q$3=Heatmap!E2))</f>
        <v>784</v>
      </c>
      <c r="F3" s="27" cm="1">
        <f t="array" ref="F3">SUMPRODUCT((Main!$C$4:$Q$17)*(Main!$B$4:$B$17=Heatmap!$A$3)*(Main!$C$3:$Q$3=Heatmap!F2))</f>
        <v>26</v>
      </c>
      <c r="G3" s="27" cm="1">
        <f t="array" ref="G3">SUMPRODUCT((Main!$C$4:$Q$17)*(Main!$B$4:$B$17=Heatmap!$A$3)*(Main!$C$3:$Q$3=Heatmap!G2))</f>
        <v>6602</v>
      </c>
      <c r="H3" s="27" cm="1">
        <f t="array" ref="H3">SUMPRODUCT((Main!$C$4:$Q$17)*(Main!$B$4:$B$17=Heatmap!$A$3)*(Main!$C$3:$Q$3=Heatmap!H2))</f>
        <v>351</v>
      </c>
      <c r="I3" s="27" cm="1">
        <f t="array" ref="I3">SUMPRODUCT((Main!$C$4:$Q$17)*(Main!$B$4:$B$17=Heatmap!$A$3)*(Main!$C$3:$Q$3=Heatmap!I2))</f>
        <v>231</v>
      </c>
      <c r="J3" s="27" cm="1">
        <f t="array" ref="J3">SUMPRODUCT((Main!$C$4:$Q$17)*(Main!$B$4:$B$17=Heatmap!$A$3)*(Main!$C$3:$Q$3=Heatmap!J2))</f>
        <v>1113</v>
      </c>
      <c r="K3" s="27" cm="1">
        <f t="array" ref="K3">SUMPRODUCT((Main!$C$4:$Q$17)*(Main!$B$4:$B$17=Heatmap!$A$3)*(Main!$C$3:$Q$3=Heatmap!K2))</f>
        <v>3276</v>
      </c>
      <c r="L3" s="27" cm="1">
        <f t="array" ref="L3">SUMPRODUCT((Main!$C$4:$Q$17)*(Main!$B$4:$B$17=Heatmap!$A$3)*(Main!$C$3:$Q$3=Heatmap!L2))</f>
        <v>630</v>
      </c>
      <c r="M3" s="27" cm="1">
        <f t="array" ref="M3">SUMPRODUCT((Main!$C$4:$Q$17)*(Main!$B$4:$B$17=Heatmap!$A$3)*(Main!$C$3:$Q$3=Heatmap!M2))</f>
        <v>263</v>
      </c>
      <c r="N3" s="27" cm="1">
        <f t="array" ref="N3">SUMPRODUCT((Main!$C$4:$Q$17)*(Main!$B$4:$B$17=Heatmap!$A$3)*(Main!$C$3:$Q$3=Heatmap!N2))</f>
        <v>20795</v>
      </c>
      <c r="O3" s="28" cm="1">
        <f t="array" ref="O3">SUMPRODUCT((Main!$C$4:$Q$17)*(Main!$B$4:$B$17=Heatmap!$A$3)*(Main!$C$3:$Q$3=Heatmap!O2))</f>
        <v>721</v>
      </c>
    </row>
    <row r="4" spans="1:15" x14ac:dyDescent="0.3">
      <c r="A4" s="26" t="s">
        <v>39</v>
      </c>
      <c r="B4" s="27" cm="1">
        <f t="array" ref="B4">SUMPRODUCT((Main!$C$4:$Q$17)*(Main!$B$4:$B$17=Heatmap!$A$4)*(Main!$C$3:$Q$3=Heatmap!B2))</f>
        <v>112</v>
      </c>
      <c r="C4" s="27" cm="1">
        <f t="array" ref="C4">SUMPRODUCT((Main!$C$4:$Q$17)*(Main!$B$4:$B$17=Heatmap!$A$4)*(Main!$C$3:$Q$3=Heatmap!C2))</f>
        <v>194</v>
      </c>
      <c r="D4" s="27" cm="1">
        <f t="array" ref="D4">SUMPRODUCT((Main!$C$4:$Q$17)*(Main!$B$4:$B$17=Heatmap!$A$4)*(Main!$C$3:$Q$3=Heatmap!D2))</f>
        <v>793</v>
      </c>
      <c r="E4" s="27" cm="1">
        <f t="array" ref="E4">SUMPRODUCT((Main!$C$4:$Q$17)*(Main!$B$4:$B$17=Heatmap!$A$4)*(Main!$C$3:$Q$3=Heatmap!E2))</f>
        <v>218</v>
      </c>
      <c r="F4" s="27" cm="1">
        <f t="array" ref="F4">SUMPRODUCT((Main!$C$4:$Q$17)*(Main!$B$4:$B$17=Heatmap!$A$4)*(Main!$C$3:$Q$3=Heatmap!F2))</f>
        <v>53</v>
      </c>
      <c r="G4" s="27" cm="1">
        <f t="array" ref="G4">SUMPRODUCT((Main!$C$4:$Q$17)*(Main!$B$4:$B$17=Heatmap!$A$4)*(Main!$C$3:$Q$3=Heatmap!G2))</f>
        <v>4243</v>
      </c>
      <c r="H4" s="27" cm="1">
        <f t="array" ref="H4">SUMPRODUCT((Main!$C$4:$Q$17)*(Main!$B$4:$B$17=Heatmap!$A$4)*(Main!$C$3:$Q$3=Heatmap!H2))</f>
        <v>149</v>
      </c>
      <c r="I4" s="27" cm="1">
        <f t="array" ref="I4">SUMPRODUCT((Main!$C$4:$Q$17)*(Main!$B$4:$B$17=Heatmap!$A$4)*(Main!$C$3:$Q$3=Heatmap!I2))</f>
        <v>193</v>
      </c>
      <c r="J4" s="27" cm="1">
        <f t="array" ref="J4">SUMPRODUCT((Main!$C$4:$Q$17)*(Main!$B$4:$B$17=Heatmap!$A$4)*(Main!$C$3:$Q$3=Heatmap!J2))</f>
        <v>534</v>
      </c>
      <c r="K4" s="27" cm="1">
        <f t="array" ref="K4">SUMPRODUCT((Main!$C$4:$Q$17)*(Main!$B$4:$B$17=Heatmap!$A$4)*(Main!$C$3:$Q$3=Heatmap!K2))</f>
        <v>1168</v>
      </c>
      <c r="L4" s="27" cm="1">
        <f t="array" ref="L4">SUMPRODUCT((Main!$C$4:$Q$17)*(Main!$B$4:$B$17=Heatmap!$A$4)*(Main!$C$3:$Q$3=Heatmap!L2))</f>
        <v>599</v>
      </c>
      <c r="M4" s="27" cm="1">
        <f t="array" ref="M4">SUMPRODUCT((Main!$C$4:$Q$17)*(Main!$B$4:$B$17=Heatmap!$A$4)*(Main!$C$3:$Q$3=Heatmap!M2))</f>
        <v>99</v>
      </c>
      <c r="N4" s="27" cm="1">
        <f t="array" ref="N4">SUMPRODUCT((Main!$C$4:$Q$17)*(Main!$B$4:$B$17=Heatmap!$A$4)*(Main!$C$3:$Q$3=Heatmap!N2))</f>
        <v>10102</v>
      </c>
      <c r="O4" s="28" cm="1">
        <f t="array" ref="O4">SUMPRODUCT((Main!$C$4:$Q$17)*(Main!$B$4:$B$17=Heatmap!$A$4)*(Main!$C$3:$Q$3=Heatmap!O2))</f>
        <v>267</v>
      </c>
    </row>
    <row r="5" spans="1:15" x14ac:dyDescent="0.3">
      <c r="A5" s="26" t="s">
        <v>35</v>
      </c>
      <c r="B5" s="27" cm="1">
        <f t="array" ref="B5">SUMPRODUCT((Main!$C$4:$Q$17)*(Main!$B$4:$B$17=Heatmap!$A$5)*(Main!$C$3:$Q$3=Heatmap!B2))</f>
        <v>50</v>
      </c>
      <c r="C5" s="27" cm="1">
        <f t="array" ref="C5">SUMPRODUCT((Main!$C$4:$Q$17)*(Main!$B$4:$B$17=Heatmap!$A$5)*(Main!$C$3:$Q$3=Heatmap!C2))</f>
        <v>127</v>
      </c>
      <c r="D5" s="27" cm="1">
        <f t="array" ref="D5">SUMPRODUCT((Main!$C$4:$Q$17)*(Main!$B$4:$B$17=Heatmap!$A$5)*(Main!$C$3:$Q$3=Heatmap!D2))</f>
        <v>469</v>
      </c>
      <c r="E5" s="27" cm="1">
        <f t="array" ref="E5">SUMPRODUCT((Main!$C$4:$Q$17)*(Main!$B$4:$B$17=Heatmap!$A$5)*(Main!$C$3:$Q$3=Heatmap!E2))</f>
        <v>170</v>
      </c>
      <c r="F5" s="27" cm="1">
        <f t="array" ref="F5">SUMPRODUCT((Main!$C$4:$Q$17)*(Main!$B$4:$B$17=Heatmap!$A$5)*(Main!$C$3:$Q$3=Heatmap!F2))</f>
        <v>2</v>
      </c>
      <c r="G5" s="27" cm="1">
        <f t="array" ref="G5">SUMPRODUCT((Main!$C$4:$Q$17)*(Main!$B$4:$B$17=Heatmap!$A$5)*(Main!$C$3:$Q$3=Heatmap!G2))</f>
        <v>3624</v>
      </c>
      <c r="H5" s="27" cm="1">
        <f t="array" ref="H5">SUMPRODUCT((Main!$C$4:$Q$17)*(Main!$B$4:$B$17=Heatmap!$A$5)*(Main!$C$3:$Q$3=Heatmap!H2))</f>
        <v>86</v>
      </c>
      <c r="I5" s="27" cm="1">
        <f t="array" ref="I5">SUMPRODUCT((Main!$C$4:$Q$17)*(Main!$B$4:$B$17=Heatmap!$A$5)*(Main!$C$3:$Q$3=Heatmap!I2))</f>
        <v>44</v>
      </c>
      <c r="J5" s="27" cm="1">
        <f t="array" ref="J5">SUMPRODUCT((Main!$C$4:$Q$17)*(Main!$B$4:$B$17=Heatmap!$A$5)*(Main!$C$3:$Q$3=Heatmap!J2))</f>
        <v>299</v>
      </c>
      <c r="K5" s="27" cm="1">
        <f t="array" ref="K5">SUMPRODUCT((Main!$C$4:$Q$17)*(Main!$B$4:$B$17=Heatmap!$A$5)*(Main!$C$3:$Q$3=Heatmap!K2))</f>
        <v>608</v>
      </c>
      <c r="L5" s="27" cm="1">
        <f t="array" ref="L5">SUMPRODUCT((Main!$C$4:$Q$17)*(Main!$B$4:$B$17=Heatmap!$A$5)*(Main!$C$3:$Q$3=Heatmap!L2))</f>
        <v>351</v>
      </c>
      <c r="M5" s="27" cm="1">
        <f t="array" ref="M5">SUMPRODUCT((Main!$C$4:$Q$17)*(Main!$B$4:$B$17=Heatmap!$A$5)*(Main!$C$3:$Q$3=Heatmap!M2))</f>
        <v>132</v>
      </c>
      <c r="N5" s="27" cm="1">
        <f t="array" ref="N5">SUMPRODUCT((Main!$C$4:$Q$17)*(Main!$B$4:$B$17=Heatmap!$A$5)*(Main!$C$3:$Q$3=Heatmap!N2))</f>
        <v>1679</v>
      </c>
      <c r="O5" s="28" cm="1">
        <f t="array" ref="O5">SUMPRODUCT((Main!$C$4:$Q$17)*(Main!$B$4:$B$17=Heatmap!$A$5)*(Main!$C$3:$Q$3=Heatmap!O2))</f>
        <v>1219</v>
      </c>
    </row>
    <row r="6" spans="1:15" x14ac:dyDescent="0.3">
      <c r="A6" s="26" t="s">
        <v>36</v>
      </c>
      <c r="B6" s="27" cm="1">
        <f t="array" ref="B6">SUMPRODUCT((Main!$C$4:$Q$17)*(Main!$B$4:$B$17=Heatmap!$A$6)*(Main!$C$3:$Q$3=Heatmap!B2))</f>
        <v>37</v>
      </c>
      <c r="C6" s="27" cm="1">
        <f t="array" ref="C6">SUMPRODUCT((Main!$C$4:$Q$17)*(Main!$B$4:$B$17=Heatmap!$A$6)*(Main!$C$3:$Q$3=Heatmap!C2))</f>
        <v>85</v>
      </c>
      <c r="D6" s="27" cm="1">
        <f t="array" ref="D6">SUMPRODUCT((Main!$C$4:$Q$17)*(Main!$B$4:$B$17=Heatmap!$A$6)*(Main!$C$3:$Q$3=Heatmap!D2))</f>
        <v>466</v>
      </c>
      <c r="E6" s="27" cm="1">
        <f t="array" ref="E6">SUMPRODUCT((Main!$C$4:$Q$17)*(Main!$B$4:$B$17=Heatmap!$A$6)*(Main!$C$3:$Q$3=Heatmap!E2))</f>
        <v>171</v>
      </c>
      <c r="F6" s="27" cm="1">
        <f t="array" ref="F6">SUMPRODUCT((Main!$C$4:$Q$17)*(Main!$B$4:$B$17=Heatmap!$A$6)*(Main!$C$3:$Q$3=Heatmap!F2))</f>
        <v>4</v>
      </c>
      <c r="G6" s="27" cm="1">
        <f t="array" ref="G6">SUMPRODUCT((Main!$C$4:$Q$17)*(Main!$B$4:$B$17=Heatmap!$A$6)*(Main!$C$3:$Q$3=Heatmap!G2))</f>
        <v>2470</v>
      </c>
      <c r="H6" s="27" cm="1">
        <f t="array" ref="H6">SUMPRODUCT((Main!$C$4:$Q$17)*(Main!$B$4:$B$17=Heatmap!$A$6)*(Main!$C$3:$Q$3=Heatmap!H2))</f>
        <v>78</v>
      </c>
      <c r="I6" s="27" cm="1">
        <f t="array" ref="I6">SUMPRODUCT((Main!$C$4:$Q$17)*(Main!$B$4:$B$17=Heatmap!$A$6)*(Main!$C$3:$Q$3=Heatmap!I2))</f>
        <v>58</v>
      </c>
      <c r="J6" s="27" cm="1">
        <f t="array" ref="J6">SUMPRODUCT((Main!$C$4:$Q$17)*(Main!$B$4:$B$17=Heatmap!$A$6)*(Main!$C$3:$Q$3=Heatmap!J2))</f>
        <v>111</v>
      </c>
      <c r="K6" s="27" cm="1">
        <f t="array" ref="K6">SUMPRODUCT((Main!$C$4:$Q$17)*(Main!$B$4:$B$17=Heatmap!$A$6)*(Main!$C$3:$Q$3=Heatmap!K2))</f>
        <v>507</v>
      </c>
      <c r="L6" s="27" cm="1">
        <f t="array" ref="L6">SUMPRODUCT((Main!$C$4:$Q$17)*(Main!$B$4:$B$17=Heatmap!$A$6)*(Main!$C$3:$Q$3=Heatmap!L2))</f>
        <v>336</v>
      </c>
      <c r="M6" s="27" cm="1">
        <f t="array" ref="M6">SUMPRODUCT((Main!$C$4:$Q$17)*(Main!$B$4:$B$17=Heatmap!$A$6)*(Main!$C$3:$Q$3=Heatmap!M2))</f>
        <v>174</v>
      </c>
      <c r="N6" s="27" cm="1">
        <f t="array" ref="N6">SUMPRODUCT((Main!$C$4:$Q$17)*(Main!$B$4:$B$17=Heatmap!$A$6)*(Main!$C$3:$Q$3=Heatmap!N2))</f>
        <v>2721</v>
      </c>
      <c r="O6" s="28" cm="1">
        <f t="array" ref="O6">SUMPRODUCT((Main!$C$4:$Q$17)*(Main!$B$4:$B$17=Heatmap!$A$6)*(Main!$C$3:$Q$3=Heatmap!O2))</f>
        <v>2251</v>
      </c>
    </row>
    <row r="7" spans="1:15" x14ac:dyDescent="0.3">
      <c r="A7" s="26" t="s">
        <v>37</v>
      </c>
      <c r="B7" s="27" cm="1">
        <f t="array" ref="B7">SUMPRODUCT((Main!$C$4:$Q$17)*(Main!$B$4:$B$17=Heatmap!$A$7)*(Main!$C$3:$Q$3=Heatmap!B2))</f>
        <v>33</v>
      </c>
      <c r="C7" s="27" cm="1">
        <f t="array" ref="C7">SUMPRODUCT((Main!$C$4:$Q$17)*(Main!$B$4:$B$17=Heatmap!$A$7)*(Main!$C$3:$Q$3=Heatmap!C2))</f>
        <v>58</v>
      </c>
      <c r="D7" s="27" cm="1">
        <f t="array" ref="D7">SUMPRODUCT((Main!$C$4:$Q$17)*(Main!$B$4:$B$17=Heatmap!$A$7)*(Main!$C$3:$Q$3=Heatmap!D2))</f>
        <v>190</v>
      </c>
      <c r="E7" s="27" cm="1">
        <f t="array" ref="E7">SUMPRODUCT((Main!$C$4:$Q$17)*(Main!$B$4:$B$17=Heatmap!$A$7)*(Main!$C$3:$Q$3=Heatmap!E2))</f>
        <v>63</v>
      </c>
      <c r="F7" s="27" cm="1">
        <f t="array" ref="F7">SUMPRODUCT((Main!$C$4:$Q$17)*(Main!$B$4:$B$17=Heatmap!$A$7)*(Main!$C$3:$Q$3=Heatmap!F2))</f>
        <v>1</v>
      </c>
      <c r="G7" s="27" cm="1">
        <f t="array" ref="G7">SUMPRODUCT((Main!$C$4:$Q$17)*(Main!$B$4:$B$17=Heatmap!$A$7)*(Main!$C$3:$Q$3=Heatmap!G2))</f>
        <v>1607</v>
      </c>
      <c r="H7" s="27" cm="1">
        <f t="array" ref="H7">SUMPRODUCT((Main!$C$4:$Q$17)*(Main!$B$4:$B$17=Heatmap!$A$7)*(Main!$C$3:$Q$3=Heatmap!H2))</f>
        <v>57</v>
      </c>
      <c r="I7" s="27" cm="1">
        <f t="array" ref="I7">SUMPRODUCT((Main!$C$4:$Q$17)*(Main!$B$4:$B$17=Heatmap!$A$7)*(Main!$C$3:$Q$3=Heatmap!I2))</f>
        <v>28</v>
      </c>
      <c r="J7" s="27" cm="1">
        <f t="array" ref="J7">SUMPRODUCT((Main!$C$4:$Q$17)*(Main!$B$4:$B$17=Heatmap!$A$7)*(Main!$C$3:$Q$3=Heatmap!J2))</f>
        <v>189</v>
      </c>
      <c r="K7" s="27" cm="1">
        <f t="array" ref="K7">SUMPRODUCT((Main!$C$4:$Q$17)*(Main!$B$4:$B$17=Heatmap!$A$7)*(Main!$C$3:$Q$3=Heatmap!K2))</f>
        <v>316</v>
      </c>
      <c r="L7" s="27" cm="1">
        <f t="array" ref="L7">SUMPRODUCT((Main!$C$4:$Q$17)*(Main!$B$4:$B$17=Heatmap!$A$7)*(Main!$C$3:$Q$3=Heatmap!L2))</f>
        <v>43</v>
      </c>
      <c r="M7" s="27" cm="1">
        <f t="array" ref="M7">SUMPRODUCT((Main!$C$4:$Q$17)*(Main!$B$4:$B$17=Heatmap!$A$7)*(Main!$C$3:$Q$3=Heatmap!M2))</f>
        <v>22</v>
      </c>
      <c r="N7" s="27" cm="1">
        <f t="array" ref="N7">SUMPRODUCT((Main!$C$4:$Q$17)*(Main!$B$4:$B$17=Heatmap!$A$7)*(Main!$C$3:$Q$3=Heatmap!N2))</f>
        <v>6354</v>
      </c>
      <c r="O7" s="28" cm="1">
        <f t="array" ref="O7">SUMPRODUCT((Main!$C$4:$Q$17)*(Main!$B$4:$B$17=Heatmap!$A$7)*(Main!$C$3:$Q$3=Heatmap!O2))</f>
        <v>29</v>
      </c>
    </row>
    <row r="8" spans="1:15" x14ac:dyDescent="0.3">
      <c r="A8" s="26" t="s">
        <v>38</v>
      </c>
      <c r="B8" s="27" cm="1">
        <f t="array" ref="B8">SUMPRODUCT((Main!$C$4:$Q$17)*(Main!$B$4:$B$17=Heatmap!$A$8)*(Main!$C$3:$Q$3=Heatmap!B2))</f>
        <v>45</v>
      </c>
      <c r="C8" s="27" cm="1">
        <f t="array" ref="C8">SUMPRODUCT((Main!$C$4:$Q$17)*(Main!$B$4:$B$17=Heatmap!$A$8)*(Main!$C$3:$Q$3=Heatmap!C2))</f>
        <v>40</v>
      </c>
      <c r="D8" s="27" cm="1">
        <f t="array" ref="D8">SUMPRODUCT((Main!$C$4:$Q$17)*(Main!$B$4:$B$17=Heatmap!$A$8)*(Main!$C$3:$Q$3=Heatmap!D2))</f>
        <v>289</v>
      </c>
      <c r="E8" s="27" cm="1">
        <f t="array" ref="E8">SUMPRODUCT((Main!$C$4:$Q$17)*(Main!$B$4:$B$17=Heatmap!$A$8)*(Main!$C$3:$Q$3=Heatmap!E2))</f>
        <v>92</v>
      </c>
      <c r="F8" s="27" cm="1">
        <f t="array" ref="F8">SUMPRODUCT((Main!$C$4:$Q$17)*(Main!$B$4:$B$17=Heatmap!$A$8)*(Main!$C$3:$Q$3=Heatmap!F2))</f>
        <v>7</v>
      </c>
      <c r="G8" s="27" cm="1">
        <f t="array" ref="G8">SUMPRODUCT((Main!$C$4:$Q$17)*(Main!$B$4:$B$17=Heatmap!$A$8)*(Main!$C$3:$Q$3=Heatmap!G2))</f>
        <v>1082</v>
      </c>
      <c r="H8" s="27" cm="1">
        <f t="array" ref="H8">SUMPRODUCT((Main!$C$4:$Q$17)*(Main!$B$4:$B$17=Heatmap!$A$8)*(Main!$C$3:$Q$3=Heatmap!H2))</f>
        <v>43</v>
      </c>
      <c r="I8" s="27" cm="1">
        <f t="array" ref="I8">SUMPRODUCT((Main!$C$4:$Q$17)*(Main!$B$4:$B$17=Heatmap!$A$8)*(Main!$C$3:$Q$3=Heatmap!I2))</f>
        <v>51</v>
      </c>
      <c r="J8" s="27" cm="1">
        <f t="array" ref="J8">SUMPRODUCT((Main!$C$4:$Q$17)*(Main!$B$4:$B$17=Heatmap!$A$8)*(Main!$C$3:$Q$3=Heatmap!J2))</f>
        <v>101</v>
      </c>
      <c r="K8" s="27" cm="1">
        <f t="array" ref="K8">SUMPRODUCT((Main!$C$4:$Q$17)*(Main!$B$4:$B$17=Heatmap!$A$8)*(Main!$C$3:$Q$3=Heatmap!K2))</f>
        <v>415</v>
      </c>
      <c r="L8" s="27" cm="1">
        <f t="array" ref="L8">SUMPRODUCT((Main!$C$4:$Q$17)*(Main!$B$4:$B$17=Heatmap!$A$8)*(Main!$C$3:$Q$3=Heatmap!L2))</f>
        <v>65</v>
      </c>
      <c r="M8" s="27" cm="1">
        <f t="array" ref="M8">SUMPRODUCT((Main!$C$4:$Q$17)*(Main!$B$4:$B$17=Heatmap!$A$8)*(Main!$C$3:$Q$3=Heatmap!M2))</f>
        <v>16</v>
      </c>
      <c r="N8" s="27" cm="1">
        <f t="array" ref="N8">SUMPRODUCT((Main!$C$4:$Q$17)*(Main!$B$4:$B$17=Heatmap!$A$8)*(Main!$C$3:$Q$3=Heatmap!N2))</f>
        <v>3970</v>
      </c>
      <c r="O8" s="28" cm="1">
        <f t="array" ref="O8">SUMPRODUCT((Main!$C$4:$Q$17)*(Main!$B$4:$B$17=Heatmap!$A$8)*(Main!$C$3:$Q$3=Heatmap!O2))</f>
        <v>219</v>
      </c>
    </row>
    <row r="9" spans="1:15" x14ac:dyDescent="0.3">
      <c r="A9" s="26" t="s">
        <v>40</v>
      </c>
      <c r="B9" s="27" cm="1">
        <f t="array" ref="B9">SUMPRODUCT((Main!$C$4:$Q$17)*(Main!$B$4:$B$17=Heatmap!$A$9)*(Main!$C$3:$Q$3=Heatmap!B2))</f>
        <v>17</v>
      </c>
      <c r="C9" s="27" cm="1">
        <f t="array" ref="C9">SUMPRODUCT((Main!$C$4:$Q$17)*(Main!$B$4:$B$17=Heatmap!$A$9)*(Main!$C$3:$Q$3=Heatmap!C2))</f>
        <v>50</v>
      </c>
      <c r="D9" s="27" cm="1">
        <f t="array" ref="D9">SUMPRODUCT((Main!$C$4:$Q$17)*(Main!$B$4:$B$17=Heatmap!$A$9)*(Main!$C$3:$Q$3=Heatmap!D2))</f>
        <v>328</v>
      </c>
      <c r="E9" s="27" cm="1">
        <f t="array" ref="E9">SUMPRODUCT((Main!$C$4:$Q$17)*(Main!$B$4:$B$17=Heatmap!$A$9)*(Main!$C$3:$Q$3=Heatmap!E2))</f>
        <v>44</v>
      </c>
      <c r="F9" s="27" cm="1">
        <f t="array" ref="F9">SUMPRODUCT((Main!$C$4:$Q$17)*(Main!$B$4:$B$17=Heatmap!$A$9)*(Main!$C$3:$Q$3=Heatmap!F2))</f>
        <v>0</v>
      </c>
      <c r="G9" s="27" cm="1">
        <f t="array" ref="G9">SUMPRODUCT((Main!$C$4:$Q$17)*(Main!$B$4:$B$17=Heatmap!$A$9)*(Main!$C$3:$Q$3=Heatmap!G2))</f>
        <v>2587</v>
      </c>
      <c r="H9" s="27" cm="1">
        <f t="array" ref="H9">SUMPRODUCT((Main!$C$4:$Q$17)*(Main!$B$4:$B$17=Heatmap!$A$9)*(Main!$C$3:$Q$3=Heatmap!H2))</f>
        <v>34</v>
      </c>
      <c r="I9" s="27" cm="1">
        <f t="array" ref="I9">SUMPRODUCT((Main!$C$4:$Q$17)*(Main!$B$4:$B$17=Heatmap!$A$9)*(Main!$C$3:$Q$3=Heatmap!I2))</f>
        <v>23</v>
      </c>
      <c r="J9" s="27" cm="1">
        <f t="array" ref="J9">SUMPRODUCT((Main!$C$4:$Q$17)*(Main!$B$4:$B$17=Heatmap!$A$9)*(Main!$C$3:$Q$3=Heatmap!J2))</f>
        <v>146</v>
      </c>
      <c r="K9" s="27" cm="1">
        <f t="array" ref="K9">SUMPRODUCT((Main!$C$4:$Q$17)*(Main!$B$4:$B$17=Heatmap!$A$9)*(Main!$C$3:$Q$3=Heatmap!K2))</f>
        <v>460</v>
      </c>
      <c r="L9" s="27" cm="1">
        <f t="array" ref="L9">SUMPRODUCT((Main!$C$4:$Q$17)*(Main!$B$4:$B$17=Heatmap!$A$9)*(Main!$C$3:$Q$3=Heatmap!L2))</f>
        <v>53</v>
      </c>
      <c r="M9" s="27" cm="1">
        <f t="array" ref="M9">SUMPRODUCT((Main!$C$4:$Q$17)*(Main!$B$4:$B$17=Heatmap!$A$9)*(Main!$C$3:$Q$3=Heatmap!M2))</f>
        <v>10</v>
      </c>
      <c r="N9" s="27" cm="1">
        <f t="array" ref="N9">SUMPRODUCT((Main!$C$4:$Q$17)*(Main!$B$4:$B$17=Heatmap!$A$9)*(Main!$C$3:$Q$3=Heatmap!N2))</f>
        <v>496</v>
      </c>
      <c r="O9" s="28" cm="1">
        <f t="array" ref="O9">SUMPRODUCT((Main!$C$4:$Q$17)*(Main!$B$4:$B$17=Heatmap!$A$9)*(Main!$C$3:$Q$3=Heatmap!O2))</f>
        <v>1355</v>
      </c>
    </row>
    <row r="10" spans="1:15" ht="15" thickBot="1" x14ac:dyDescent="0.35">
      <c r="A10" s="29" t="s">
        <v>41</v>
      </c>
      <c r="B10" s="30" cm="1">
        <f t="array" ref="B10">SUMPRODUCT((Main!$C$4:$Q$17)*(Main!$B$4:$B$17=Heatmap!$A$10)*(Main!$C$3:$Q$3=Heatmap!B2))</f>
        <v>2</v>
      </c>
      <c r="C10" s="30" cm="1">
        <f t="array" ref="C10">SUMPRODUCT((Main!$C$4:$Q$17)*(Main!$B$4:$B$17=Heatmap!$A$10)*(Main!$C$3:$Q$3=Heatmap!C2))</f>
        <v>10</v>
      </c>
      <c r="D10" s="30" cm="1">
        <f t="array" ref="D10">SUMPRODUCT((Main!$C$4:$Q$17)*(Main!$B$4:$B$17=Heatmap!$A$10)*(Main!$C$3:$Q$3=Heatmap!D2))</f>
        <v>24</v>
      </c>
      <c r="E10" s="30" cm="1">
        <f t="array" ref="E10">SUMPRODUCT((Main!$C$4:$Q$17)*(Main!$B$4:$B$17=Heatmap!$A$10)*(Main!$C$3:$Q$3=Heatmap!E2))</f>
        <v>2</v>
      </c>
      <c r="F10" s="30" cm="1">
        <f t="array" ref="F10">SUMPRODUCT((Main!$C$4:$Q$17)*(Main!$B$4:$B$17=Heatmap!$A$10)*(Main!$C$3:$Q$3=Heatmap!F2))</f>
        <v>0</v>
      </c>
      <c r="G10" s="30" cm="1">
        <f t="array" ref="G10">SUMPRODUCT((Main!$C$4:$Q$17)*(Main!$B$4:$B$17=Heatmap!$A$10)*(Main!$C$3:$Q$3=Heatmap!G2))</f>
        <v>5</v>
      </c>
      <c r="H10" s="30" cm="1">
        <f t="array" ref="H10">SUMPRODUCT((Main!$C$4:$Q$17)*(Main!$B$4:$B$17=Heatmap!$A$10)*(Main!$C$3:$Q$3=Heatmap!H2))</f>
        <v>8</v>
      </c>
      <c r="I10" s="30" cm="1">
        <f t="array" ref="I10">SUMPRODUCT((Main!$C$4:$Q$17)*(Main!$B$4:$B$17=Heatmap!$A$10)*(Main!$C$3:$Q$3=Heatmap!I2))</f>
        <v>1</v>
      </c>
      <c r="J10" s="30" cm="1">
        <f t="array" ref="J10">SUMPRODUCT((Main!$C$4:$Q$17)*(Main!$B$4:$B$17=Heatmap!$A$10)*(Main!$C$3:$Q$3=Heatmap!J2))</f>
        <v>1</v>
      </c>
      <c r="K10" s="30" cm="1">
        <f t="array" ref="K10">SUMPRODUCT((Main!$C$4:$Q$17)*(Main!$B$4:$B$17=Heatmap!$A$10)*(Main!$C$3:$Q$3=Heatmap!K2))</f>
        <v>71</v>
      </c>
      <c r="L10" s="30" cm="1">
        <f t="array" ref="L10">SUMPRODUCT((Main!$C$4:$Q$17)*(Main!$B$4:$B$17=Heatmap!$A$10)*(Main!$C$3:$Q$3=Heatmap!L2))</f>
        <v>4</v>
      </c>
      <c r="M10" s="30" cm="1">
        <f t="array" ref="M10">SUMPRODUCT((Main!$C$4:$Q$17)*(Main!$B$4:$B$17=Heatmap!$A$10)*(Main!$C$3:$Q$3=Heatmap!M2))</f>
        <v>9</v>
      </c>
      <c r="N10" s="30" cm="1">
        <f t="array" ref="N10">SUMPRODUCT((Main!$C$4:$Q$17)*(Main!$B$4:$B$17=Heatmap!$A$10)*(Main!$C$3:$Q$3=Heatmap!N2))</f>
        <v>395</v>
      </c>
      <c r="O10" s="31" cm="1">
        <f t="array" ref="O10">SUMPRODUCT((Main!$C$4:$Q$17)*(Main!$B$4:$B$17=Heatmap!$A$10)*(Main!$C$3:$Q$3=Heatmap!O2))</f>
        <v>118</v>
      </c>
    </row>
  </sheetData>
  <conditionalFormatting sqref="A2:O10">
    <cfRule type="colorScale" priority="7">
      <colorScale>
        <cfvo type="min"/>
        <cfvo type="percentile" val="50"/>
        <cfvo type="max"/>
        <color theme="9" tint="0.79998168889431442"/>
        <color rgb="FFFFEB84"/>
        <color rgb="FFFF0000"/>
      </colorScale>
    </cfRule>
    <cfRule type="colorScale" priority="8">
      <colorScale>
        <cfvo type="min"/>
        <cfvo type="percentile" val="50"/>
        <cfvo type="max"/>
        <color rgb="FF63BE7B"/>
        <color rgb="FFFFEB84"/>
        <color rgb="FFF8696B"/>
      </colorScale>
    </cfRule>
  </conditionalFormatting>
  <conditionalFormatting sqref="B3:O10">
    <cfRule type="colorScale" priority="1">
      <colorScale>
        <cfvo type="min"/>
        <cfvo type="percentile" val="50"/>
        <cfvo type="max"/>
        <color theme="7" tint="0.79998168889431442"/>
        <color theme="5" tint="0.39997558519241921"/>
        <color rgb="FFC00000"/>
      </colorScale>
    </cfRule>
    <cfRule type="colorScale" priority="2">
      <colorScale>
        <cfvo type="min"/>
        <cfvo type="percentile" val="50"/>
        <cfvo type="max"/>
        <color theme="8" tint="0.79998168889431442"/>
        <color theme="5" tint="0.39997558519241921"/>
        <color rgb="FFC00000"/>
      </colorScale>
    </cfRule>
    <cfRule type="colorScale" priority="3">
      <colorScale>
        <cfvo type="min"/>
        <cfvo type="percentile" val="50"/>
        <cfvo type="max"/>
        <color theme="9" tint="0.39997558519241921"/>
        <color theme="5" tint="0.39997558519241921"/>
        <color rgb="FFC00000"/>
      </colorScale>
    </cfRule>
    <cfRule type="colorScale" priority="4">
      <colorScale>
        <cfvo type="min"/>
        <cfvo type="percentile" val="50"/>
        <cfvo type="max"/>
        <color theme="9" tint="0.79998168889431442"/>
        <color theme="5" tint="0.39997558519241921"/>
        <color rgb="FFC00000"/>
      </colorScale>
    </cfRule>
    <cfRule type="colorScale" priority="6">
      <colorScale>
        <cfvo type="min"/>
        <cfvo type="percentile" val="50"/>
        <cfvo type="max"/>
        <color theme="7" tint="0.79998168889431442"/>
        <color theme="5" tint="0.39997558519241921"/>
        <color rgb="FFC00000"/>
      </colorScale>
    </cfRule>
  </conditionalFormatting>
  <conditionalFormatting sqref="J13">
    <cfRule type="colorScale" priority="5">
      <colorScale>
        <cfvo type="min"/>
        <cfvo type="percentile" val="50"/>
        <cfvo type="max"/>
        <color theme="9" tint="0.79998168889431442"/>
        <color theme="5" tint="0.39997558519241921"/>
        <color rgb="FFC00000"/>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B672-218E-4B58-A637-B635662D148C}">
  <dimension ref="A1:AJ42"/>
  <sheetViews>
    <sheetView tabSelected="1" zoomScale="55" zoomScaleNormal="55" workbookViewId="0">
      <selection sqref="A1:AJ1"/>
    </sheetView>
  </sheetViews>
  <sheetFormatPr defaultRowHeight="14.4" x14ac:dyDescent="0.3"/>
  <cols>
    <col min="1" max="1" width="8.88671875" style="36"/>
    <col min="2" max="2" width="8.88671875" style="36" customWidth="1"/>
    <col min="3" max="3" width="8.88671875" style="36"/>
    <col min="4" max="4" width="18.21875" style="36" customWidth="1"/>
    <col min="5" max="5" width="8.33203125" style="36" bestFit="1" customWidth="1"/>
    <col min="6" max="6" width="8.88671875" style="36" customWidth="1"/>
    <col min="7" max="7" width="7.6640625" style="36" bestFit="1" customWidth="1"/>
    <col min="8" max="8" width="8.33203125" style="36" bestFit="1" customWidth="1"/>
    <col min="9" max="9" width="6.88671875" style="36" customWidth="1"/>
    <col min="10" max="10" width="11.5546875" style="36" bestFit="1" customWidth="1"/>
    <col min="11" max="11" width="8.88671875" style="36" customWidth="1"/>
    <col min="12" max="12" width="8.109375" style="36" bestFit="1" customWidth="1"/>
    <col min="13" max="13" width="8.88671875" style="36" customWidth="1"/>
    <col min="14" max="14" width="7.44140625" style="36" customWidth="1"/>
    <col min="15" max="15" width="8.88671875" style="36" customWidth="1"/>
    <col min="16" max="16" width="10.109375" style="36" customWidth="1"/>
    <col min="17" max="17" width="10.21875" style="36" customWidth="1"/>
    <col min="18" max="18" width="11.88671875" style="36" customWidth="1"/>
    <col min="19" max="16384" width="8.88671875" style="36"/>
  </cols>
  <sheetData>
    <row r="1" spans="1:36" ht="34.200000000000003" customHeight="1" x14ac:dyDescent="0.3">
      <c r="A1" s="51" t="s">
        <v>69</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row>
    <row r="2" spans="1:36" x14ac:dyDescent="0.3">
      <c r="D2"/>
      <c r="E2"/>
      <c r="F2"/>
      <c r="G2"/>
      <c r="H2"/>
      <c r="I2"/>
      <c r="J2"/>
      <c r="K2"/>
      <c r="L2"/>
      <c r="M2"/>
      <c r="N2"/>
      <c r="O2"/>
      <c r="P2"/>
      <c r="Q2"/>
      <c r="R2"/>
      <c r="S2"/>
      <c r="T2"/>
      <c r="U2"/>
      <c r="V2"/>
      <c r="W2"/>
      <c r="X2"/>
      <c r="Y2"/>
      <c r="Z2"/>
      <c r="AA2"/>
      <c r="AB2"/>
      <c r="AC2"/>
    </row>
    <row r="3" spans="1:36" x14ac:dyDescent="0.3">
      <c r="D3"/>
      <c r="E3"/>
      <c r="F3"/>
      <c r="G3"/>
      <c r="H3"/>
      <c r="I3"/>
      <c r="J3"/>
      <c r="K3"/>
      <c r="L3"/>
      <c r="M3"/>
      <c r="N3"/>
      <c r="O3"/>
      <c r="P3"/>
      <c r="Q3"/>
      <c r="R3"/>
      <c r="S3"/>
      <c r="T3"/>
      <c r="U3"/>
      <c r="V3"/>
      <c r="W3"/>
      <c r="X3"/>
      <c r="Y3"/>
      <c r="Z3"/>
      <c r="AA3"/>
      <c r="AB3"/>
      <c r="AC3"/>
    </row>
    <row r="4" spans="1:36" x14ac:dyDescent="0.3">
      <c r="D4"/>
      <c r="E4"/>
      <c r="F4"/>
      <c r="G4"/>
      <c r="H4"/>
      <c r="I4"/>
      <c r="J4"/>
      <c r="K4"/>
      <c r="L4"/>
      <c r="M4"/>
      <c r="N4"/>
      <c r="O4"/>
      <c r="P4"/>
      <c r="Q4"/>
      <c r="R4"/>
      <c r="S4"/>
      <c r="T4"/>
      <c r="U4"/>
      <c r="V4"/>
      <c r="W4"/>
      <c r="X4"/>
      <c r="Y4"/>
      <c r="Z4"/>
      <c r="AA4"/>
      <c r="AB4"/>
      <c r="AC4"/>
    </row>
    <row r="5" spans="1:36" x14ac:dyDescent="0.3">
      <c r="D5"/>
      <c r="E5"/>
      <c r="F5"/>
      <c r="G5"/>
      <c r="H5"/>
      <c r="I5"/>
      <c r="J5"/>
      <c r="K5"/>
      <c r="L5"/>
      <c r="M5"/>
      <c r="N5"/>
      <c r="O5"/>
      <c r="P5"/>
      <c r="Q5"/>
      <c r="R5"/>
      <c r="S5"/>
      <c r="T5"/>
      <c r="U5"/>
      <c r="V5"/>
      <c r="W5"/>
      <c r="X5"/>
      <c r="Y5"/>
      <c r="Z5"/>
      <c r="AA5"/>
      <c r="AB5"/>
      <c r="AC5"/>
    </row>
    <row r="6" spans="1:36" x14ac:dyDescent="0.3">
      <c r="D6"/>
      <c r="E6"/>
      <c r="F6"/>
      <c r="G6"/>
      <c r="H6"/>
      <c r="I6"/>
      <c r="J6"/>
      <c r="K6"/>
      <c r="L6"/>
      <c r="M6"/>
      <c r="N6"/>
      <c r="O6"/>
      <c r="P6"/>
      <c r="Q6"/>
      <c r="R6"/>
      <c r="S6"/>
      <c r="T6"/>
      <c r="U6"/>
      <c r="V6"/>
      <c r="W6"/>
      <c r="X6"/>
      <c r="Y6"/>
      <c r="Z6"/>
      <c r="AA6"/>
      <c r="AB6"/>
      <c r="AC6"/>
    </row>
    <row r="7" spans="1:36" x14ac:dyDescent="0.3">
      <c r="D7"/>
      <c r="E7"/>
      <c r="F7"/>
      <c r="G7"/>
      <c r="H7"/>
      <c r="I7"/>
      <c r="J7"/>
      <c r="K7"/>
      <c r="L7"/>
      <c r="M7"/>
      <c r="N7"/>
      <c r="O7"/>
      <c r="P7"/>
      <c r="Q7"/>
      <c r="R7"/>
      <c r="S7"/>
      <c r="T7"/>
      <c r="U7"/>
      <c r="V7"/>
      <c r="W7"/>
      <c r="X7"/>
      <c r="Y7"/>
      <c r="Z7"/>
      <c r="AA7"/>
      <c r="AB7"/>
      <c r="AC7"/>
    </row>
    <row r="8" spans="1:36" x14ac:dyDescent="0.3">
      <c r="D8"/>
      <c r="E8"/>
      <c r="F8"/>
      <c r="G8"/>
      <c r="H8"/>
      <c r="I8"/>
      <c r="J8"/>
      <c r="K8"/>
      <c r="L8"/>
      <c r="M8"/>
      <c r="N8"/>
      <c r="O8"/>
      <c r="P8"/>
      <c r="Q8"/>
      <c r="R8"/>
      <c r="S8"/>
      <c r="T8"/>
      <c r="U8"/>
      <c r="V8"/>
      <c r="W8"/>
      <c r="X8"/>
      <c r="Y8"/>
      <c r="Z8"/>
      <c r="AA8"/>
      <c r="AB8"/>
      <c r="AC8"/>
    </row>
    <row r="9" spans="1:36" x14ac:dyDescent="0.3">
      <c r="D9"/>
      <c r="E9"/>
      <c r="F9"/>
      <c r="G9"/>
      <c r="H9"/>
      <c r="I9"/>
      <c r="J9"/>
      <c r="K9"/>
      <c r="L9"/>
      <c r="M9"/>
      <c r="N9"/>
      <c r="O9"/>
      <c r="P9"/>
      <c r="Q9"/>
      <c r="R9"/>
      <c r="S9"/>
      <c r="T9"/>
      <c r="U9"/>
      <c r="V9"/>
      <c r="W9"/>
      <c r="X9"/>
      <c r="Y9"/>
      <c r="Z9"/>
      <c r="AA9"/>
      <c r="AB9"/>
      <c r="AC9"/>
    </row>
    <row r="10" spans="1:36" x14ac:dyDescent="0.3">
      <c r="D10"/>
      <c r="E10"/>
      <c r="F10"/>
      <c r="G10"/>
      <c r="H10"/>
      <c r="I10"/>
      <c r="J10"/>
      <c r="K10"/>
      <c r="L10"/>
      <c r="M10"/>
      <c r="N10"/>
      <c r="O10"/>
      <c r="P10"/>
      <c r="Q10"/>
      <c r="R10"/>
      <c r="S10"/>
      <c r="T10"/>
      <c r="U10"/>
      <c r="V10"/>
      <c r="W10"/>
      <c r="X10"/>
      <c r="Y10"/>
      <c r="Z10"/>
      <c r="AA10"/>
      <c r="AB10"/>
      <c r="AC10"/>
    </row>
    <row r="11" spans="1:36" x14ac:dyDescent="0.3">
      <c r="D11"/>
      <c r="E11"/>
      <c r="F11"/>
      <c r="G11"/>
      <c r="H11"/>
      <c r="I11"/>
      <c r="J11"/>
      <c r="K11"/>
      <c r="L11"/>
      <c r="M11"/>
      <c r="N11"/>
      <c r="O11"/>
      <c r="P11"/>
      <c r="Q11"/>
      <c r="R11"/>
      <c r="S11"/>
      <c r="T11"/>
      <c r="U11"/>
      <c r="V11"/>
      <c r="W11"/>
      <c r="X11"/>
      <c r="Y11"/>
      <c r="Z11"/>
      <c r="AA11"/>
      <c r="AB11"/>
      <c r="AC11"/>
    </row>
    <row r="12" spans="1:36" x14ac:dyDescent="0.3">
      <c r="D12"/>
      <c r="E12"/>
      <c r="F12"/>
      <c r="G12"/>
      <c r="H12"/>
      <c r="I12"/>
      <c r="J12"/>
      <c r="K12"/>
      <c r="L12"/>
      <c r="M12"/>
      <c r="N12"/>
      <c r="O12"/>
      <c r="P12"/>
      <c r="Q12"/>
      <c r="R12"/>
      <c r="S12"/>
      <c r="T12"/>
      <c r="U12"/>
      <c r="V12"/>
      <c r="W12"/>
      <c r="X12"/>
      <c r="Y12"/>
      <c r="Z12"/>
      <c r="AA12"/>
      <c r="AB12"/>
      <c r="AC12"/>
    </row>
    <row r="13" spans="1:36" x14ac:dyDescent="0.3">
      <c r="D13"/>
      <c r="E13"/>
      <c r="F13"/>
      <c r="G13"/>
      <c r="H13"/>
      <c r="I13"/>
      <c r="J13"/>
      <c r="K13"/>
      <c r="L13"/>
      <c r="M13"/>
      <c r="N13"/>
      <c r="O13"/>
      <c r="P13"/>
      <c r="Q13"/>
      <c r="R13"/>
      <c r="S13"/>
      <c r="T13"/>
      <c r="U13"/>
      <c r="V13"/>
      <c r="W13"/>
      <c r="X13"/>
      <c r="Y13"/>
      <c r="Z13"/>
      <c r="AA13"/>
      <c r="AB13"/>
      <c r="AC13"/>
    </row>
    <row r="14" spans="1:36" x14ac:dyDescent="0.3">
      <c r="D14"/>
      <c r="E14"/>
      <c r="F14"/>
      <c r="G14"/>
      <c r="H14"/>
      <c r="I14"/>
      <c r="J14"/>
      <c r="K14"/>
      <c r="L14"/>
      <c r="M14"/>
      <c r="N14"/>
      <c r="O14"/>
      <c r="P14"/>
      <c r="Q14"/>
      <c r="R14"/>
      <c r="S14"/>
      <c r="T14"/>
      <c r="U14"/>
      <c r="V14"/>
      <c r="W14"/>
      <c r="X14"/>
      <c r="Y14"/>
      <c r="Z14"/>
      <c r="AA14"/>
      <c r="AB14"/>
      <c r="AC14"/>
    </row>
    <row r="15" spans="1:36" x14ac:dyDescent="0.3">
      <c r="D15"/>
      <c r="E15"/>
      <c r="F15"/>
      <c r="G15"/>
      <c r="H15"/>
      <c r="I15"/>
      <c r="J15"/>
      <c r="K15"/>
      <c r="L15"/>
      <c r="M15"/>
      <c r="N15"/>
      <c r="O15"/>
      <c r="P15"/>
      <c r="Q15"/>
      <c r="R15"/>
      <c r="S15"/>
      <c r="T15"/>
      <c r="U15"/>
      <c r="V15"/>
      <c r="W15"/>
      <c r="X15"/>
      <c r="Y15"/>
      <c r="Z15"/>
      <c r="AA15"/>
      <c r="AB15"/>
      <c r="AC15"/>
    </row>
    <row r="16" spans="1:36" x14ac:dyDescent="0.3">
      <c r="D16"/>
      <c r="E16"/>
      <c r="F16"/>
      <c r="G16"/>
      <c r="H16"/>
      <c r="I16"/>
      <c r="J16"/>
      <c r="K16"/>
      <c r="L16"/>
      <c r="M16"/>
      <c r="N16"/>
      <c r="O16"/>
      <c r="P16"/>
      <c r="Q16"/>
      <c r="R16"/>
      <c r="S16"/>
      <c r="T16"/>
      <c r="U16"/>
      <c r="V16"/>
      <c r="W16"/>
      <c r="X16"/>
      <c r="Y16"/>
      <c r="Z16"/>
      <c r="AA16"/>
      <c r="AB16"/>
      <c r="AC16"/>
    </row>
    <row r="17" spans="4:29" x14ac:dyDescent="0.3">
      <c r="D17"/>
      <c r="E17"/>
      <c r="F17"/>
      <c r="G17"/>
      <c r="H17"/>
      <c r="I17"/>
      <c r="J17"/>
      <c r="K17"/>
      <c r="L17"/>
      <c r="M17"/>
      <c r="N17"/>
      <c r="O17"/>
      <c r="P17"/>
      <c r="Q17"/>
      <c r="R17"/>
      <c r="S17"/>
      <c r="T17"/>
      <c r="U17"/>
      <c r="V17"/>
      <c r="W17"/>
      <c r="X17"/>
      <c r="Y17"/>
      <c r="Z17"/>
      <c r="AA17"/>
      <c r="AB17"/>
      <c r="AC17"/>
    </row>
    <row r="18" spans="4:29" x14ac:dyDescent="0.3">
      <c r="D18"/>
      <c r="E18"/>
      <c r="F18"/>
      <c r="G18"/>
      <c r="H18"/>
      <c r="I18"/>
      <c r="J18"/>
      <c r="K18"/>
      <c r="L18"/>
      <c r="M18"/>
      <c r="N18"/>
      <c r="O18"/>
      <c r="P18"/>
      <c r="Q18"/>
      <c r="R18"/>
      <c r="S18"/>
      <c r="T18"/>
      <c r="U18"/>
      <c r="V18"/>
      <c r="W18"/>
      <c r="X18"/>
      <c r="Y18"/>
      <c r="Z18"/>
      <c r="AA18"/>
      <c r="AB18"/>
      <c r="AC18"/>
    </row>
    <row r="19" spans="4:29" x14ac:dyDescent="0.3">
      <c r="D19"/>
      <c r="E19"/>
      <c r="F19"/>
      <c r="G19"/>
      <c r="H19"/>
      <c r="I19"/>
      <c r="J19"/>
      <c r="K19"/>
      <c r="L19"/>
      <c r="M19"/>
      <c r="N19"/>
      <c r="O19"/>
      <c r="P19"/>
      <c r="Q19"/>
      <c r="R19"/>
      <c r="S19"/>
      <c r="T19"/>
      <c r="U19"/>
      <c r="V19"/>
      <c r="W19"/>
      <c r="X19"/>
      <c r="Y19"/>
      <c r="Z19"/>
      <c r="AA19"/>
      <c r="AB19"/>
      <c r="AC19"/>
    </row>
    <row r="20" spans="4:29" x14ac:dyDescent="0.3">
      <c r="D20"/>
      <c r="E20"/>
      <c r="F20"/>
      <c r="G20"/>
      <c r="H20"/>
      <c r="I20"/>
      <c r="J20"/>
      <c r="K20"/>
      <c r="L20"/>
      <c r="M20"/>
      <c r="N20"/>
      <c r="O20"/>
      <c r="P20"/>
      <c r="Q20"/>
      <c r="R20"/>
      <c r="S20"/>
      <c r="T20"/>
      <c r="U20"/>
      <c r="V20"/>
      <c r="W20"/>
      <c r="X20"/>
      <c r="Y20"/>
      <c r="Z20"/>
      <c r="AA20"/>
      <c r="AB20"/>
      <c r="AC20"/>
    </row>
    <row r="21" spans="4:29" x14ac:dyDescent="0.3">
      <c r="D21"/>
      <c r="E21"/>
      <c r="F21"/>
      <c r="G21"/>
      <c r="H21"/>
      <c r="I21"/>
      <c r="J21"/>
      <c r="K21"/>
      <c r="L21"/>
      <c r="M21"/>
      <c r="N21"/>
      <c r="O21"/>
      <c r="P21"/>
      <c r="Q21"/>
      <c r="R21"/>
      <c r="S21"/>
      <c r="T21"/>
      <c r="U21"/>
      <c r="V21"/>
      <c r="W21"/>
      <c r="X21"/>
      <c r="Y21"/>
      <c r="Z21"/>
      <c r="AA21"/>
      <c r="AB21"/>
      <c r="AC21"/>
    </row>
    <row r="22" spans="4:29" x14ac:dyDescent="0.3">
      <c r="D22"/>
      <c r="E22"/>
      <c r="F22"/>
      <c r="G22"/>
      <c r="H22"/>
      <c r="I22"/>
      <c r="J22"/>
      <c r="K22"/>
      <c r="L22"/>
      <c r="M22"/>
      <c r="N22"/>
      <c r="O22"/>
      <c r="P22"/>
      <c r="Q22"/>
      <c r="R22"/>
      <c r="S22"/>
      <c r="T22"/>
      <c r="U22"/>
      <c r="V22"/>
      <c r="W22"/>
      <c r="X22"/>
      <c r="Y22"/>
      <c r="Z22"/>
      <c r="AA22"/>
      <c r="AB22"/>
      <c r="AC22"/>
    </row>
    <row r="23" spans="4:29" x14ac:dyDescent="0.3">
      <c r="D23"/>
      <c r="E23"/>
      <c r="F23"/>
      <c r="G23"/>
      <c r="H23"/>
      <c r="I23"/>
      <c r="J23"/>
      <c r="K23"/>
      <c r="L23"/>
      <c r="M23"/>
      <c r="N23"/>
      <c r="O23"/>
      <c r="P23"/>
      <c r="Q23"/>
      <c r="R23"/>
      <c r="S23"/>
      <c r="T23"/>
      <c r="U23"/>
      <c r="V23"/>
      <c r="W23"/>
      <c r="X23"/>
      <c r="Y23"/>
      <c r="Z23"/>
      <c r="AA23"/>
      <c r="AB23"/>
      <c r="AC23"/>
    </row>
    <row r="24" spans="4:29" x14ac:dyDescent="0.3">
      <c r="D24"/>
      <c r="E24"/>
      <c r="F24"/>
      <c r="G24"/>
      <c r="H24"/>
      <c r="I24"/>
      <c r="J24"/>
      <c r="K24"/>
      <c r="L24"/>
      <c r="M24"/>
      <c r="N24"/>
      <c r="O24"/>
      <c r="P24"/>
      <c r="Q24"/>
      <c r="R24"/>
      <c r="S24"/>
      <c r="T24"/>
      <c r="U24"/>
      <c r="V24"/>
      <c r="W24"/>
      <c r="X24"/>
      <c r="Y24"/>
      <c r="Z24"/>
      <c r="AA24"/>
      <c r="AB24"/>
      <c r="AC24"/>
    </row>
    <row r="25" spans="4:29" x14ac:dyDescent="0.3">
      <c r="D25"/>
      <c r="E25"/>
      <c r="F25"/>
      <c r="G25"/>
      <c r="H25"/>
      <c r="I25"/>
      <c r="J25"/>
      <c r="K25"/>
      <c r="L25"/>
      <c r="M25"/>
      <c r="N25"/>
      <c r="O25"/>
      <c r="P25"/>
      <c r="Q25"/>
      <c r="R25"/>
      <c r="S25"/>
      <c r="T25"/>
      <c r="U25"/>
      <c r="V25"/>
      <c r="W25"/>
      <c r="X25"/>
      <c r="Y25"/>
      <c r="Z25"/>
      <c r="AA25"/>
      <c r="AB25"/>
      <c r="AC25"/>
    </row>
    <row r="26" spans="4:29" x14ac:dyDescent="0.3">
      <c r="D26"/>
      <c r="E26"/>
      <c r="F26"/>
      <c r="G26"/>
      <c r="H26"/>
      <c r="I26"/>
      <c r="J26"/>
      <c r="K26"/>
      <c r="L26"/>
      <c r="M26"/>
      <c r="N26"/>
      <c r="O26"/>
      <c r="P26"/>
      <c r="Q26"/>
      <c r="R26"/>
      <c r="S26"/>
      <c r="T26"/>
      <c r="U26"/>
      <c r="V26"/>
      <c r="W26"/>
      <c r="X26"/>
      <c r="Y26"/>
      <c r="Z26"/>
      <c r="AA26"/>
      <c r="AB26"/>
      <c r="AC26"/>
    </row>
    <row r="27" spans="4:29" x14ac:dyDescent="0.3">
      <c r="D27"/>
      <c r="E27"/>
      <c r="F27"/>
      <c r="G27"/>
      <c r="H27"/>
      <c r="I27"/>
      <c r="J27"/>
      <c r="K27"/>
      <c r="L27"/>
      <c r="M27"/>
      <c r="N27"/>
      <c r="O27"/>
      <c r="P27"/>
      <c r="Q27"/>
      <c r="R27"/>
      <c r="S27"/>
      <c r="T27"/>
      <c r="U27"/>
      <c r="V27"/>
      <c r="W27"/>
      <c r="X27"/>
      <c r="Y27"/>
      <c r="Z27"/>
      <c r="AA27"/>
      <c r="AB27"/>
      <c r="AC27"/>
    </row>
    <row r="28" spans="4:29" x14ac:dyDescent="0.3">
      <c r="D28"/>
      <c r="E28"/>
      <c r="F28"/>
      <c r="G28"/>
      <c r="H28"/>
      <c r="I28"/>
      <c r="J28"/>
      <c r="K28"/>
      <c r="L28"/>
      <c r="M28"/>
      <c r="N28"/>
      <c r="O28"/>
      <c r="P28"/>
      <c r="Q28"/>
      <c r="R28"/>
      <c r="S28"/>
      <c r="T28"/>
      <c r="U28"/>
      <c r="V28"/>
      <c r="W28"/>
      <c r="X28"/>
      <c r="Y28"/>
      <c r="Z28"/>
      <c r="AA28"/>
      <c r="AB28"/>
      <c r="AC28"/>
    </row>
    <row r="29" spans="4:29" x14ac:dyDescent="0.3">
      <c r="D29"/>
      <c r="E29"/>
      <c r="F29"/>
      <c r="G29"/>
      <c r="H29"/>
      <c r="I29"/>
      <c r="J29"/>
      <c r="K29"/>
      <c r="L29"/>
      <c r="M29"/>
      <c r="N29"/>
      <c r="O29"/>
      <c r="P29"/>
      <c r="Q29"/>
      <c r="R29"/>
      <c r="S29"/>
      <c r="T29"/>
      <c r="U29"/>
      <c r="V29"/>
      <c r="W29"/>
      <c r="X29"/>
      <c r="Y29"/>
      <c r="Z29"/>
      <c r="AA29"/>
      <c r="AB29"/>
      <c r="AC29"/>
    </row>
    <row r="30" spans="4:29" x14ac:dyDescent="0.3">
      <c r="D30"/>
      <c r="E30"/>
      <c r="F30"/>
      <c r="G30"/>
      <c r="H30"/>
      <c r="I30"/>
      <c r="J30"/>
      <c r="K30"/>
      <c r="L30"/>
      <c r="M30"/>
      <c r="N30"/>
      <c r="O30"/>
      <c r="P30"/>
      <c r="Q30"/>
      <c r="R30"/>
      <c r="S30"/>
      <c r="T30"/>
      <c r="U30"/>
      <c r="V30"/>
      <c r="W30"/>
      <c r="X30"/>
      <c r="Y30"/>
      <c r="Z30"/>
      <c r="AA30"/>
      <c r="AB30"/>
      <c r="AC30"/>
    </row>
    <row r="31" spans="4:29" x14ac:dyDescent="0.3">
      <c r="D31"/>
      <c r="E31"/>
      <c r="F31"/>
      <c r="G31"/>
      <c r="H31"/>
      <c r="I31"/>
      <c r="J31"/>
      <c r="K31"/>
      <c r="L31"/>
      <c r="M31"/>
      <c r="N31"/>
      <c r="O31"/>
      <c r="P31"/>
      <c r="Q31"/>
      <c r="R31"/>
      <c r="S31"/>
      <c r="T31"/>
      <c r="U31"/>
      <c r="V31"/>
      <c r="W31"/>
      <c r="X31"/>
      <c r="Y31"/>
      <c r="Z31"/>
      <c r="AA31"/>
      <c r="AB31"/>
      <c r="AC31"/>
    </row>
    <row r="32" spans="4:29" x14ac:dyDescent="0.3">
      <c r="D32"/>
      <c r="E32"/>
      <c r="F32"/>
      <c r="G32"/>
      <c r="H32"/>
      <c r="I32"/>
      <c r="J32"/>
      <c r="K32"/>
      <c r="L32"/>
      <c r="M32"/>
      <c r="N32"/>
      <c r="O32"/>
      <c r="P32"/>
      <c r="Q32"/>
      <c r="R32"/>
      <c r="S32"/>
      <c r="T32"/>
      <c r="U32"/>
      <c r="V32"/>
      <c r="W32"/>
      <c r="X32"/>
      <c r="Y32"/>
      <c r="Z32"/>
      <c r="AA32"/>
      <c r="AB32"/>
      <c r="AC32"/>
    </row>
    <row r="33" spans="4:29" ht="15" thickBot="1" x14ac:dyDescent="0.35">
      <c r="D33"/>
      <c r="E33"/>
      <c r="F33"/>
      <c r="G33"/>
      <c r="H33"/>
      <c r="I33"/>
      <c r="J33"/>
      <c r="K33"/>
      <c r="L33"/>
      <c r="M33"/>
      <c r="N33"/>
      <c r="O33"/>
      <c r="P33"/>
      <c r="Q33"/>
      <c r="R33"/>
      <c r="S33"/>
      <c r="T33"/>
      <c r="U33"/>
      <c r="V33"/>
      <c r="W33"/>
      <c r="X33"/>
      <c r="Y33"/>
      <c r="Z33"/>
      <c r="AA33"/>
      <c r="AB33"/>
      <c r="AC33"/>
    </row>
    <row r="34" spans="4:29" ht="45" customHeight="1" x14ac:dyDescent="0.3">
      <c r="D34" s="37" t="s">
        <v>70</v>
      </c>
      <c r="E34" s="33" t="s">
        <v>15</v>
      </c>
      <c r="F34" s="33" t="s">
        <v>16</v>
      </c>
      <c r="G34" s="33" t="s">
        <v>17</v>
      </c>
      <c r="H34" s="33" t="s">
        <v>18</v>
      </c>
      <c r="I34" s="33" t="s">
        <v>19</v>
      </c>
      <c r="J34" s="33" t="s">
        <v>20</v>
      </c>
      <c r="K34" s="33" t="s">
        <v>21</v>
      </c>
      <c r="L34" s="33" t="s">
        <v>22</v>
      </c>
      <c r="M34" s="33" t="s">
        <v>23</v>
      </c>
      <c r="N34" s="33" t="s">
        <v>24</v>
      </c>
      <c r="O34" s="33" t="s">
        <v>25</v>
      </c>
      <c r="P34" s="33" t="s">
        <v>26</v>
      </c>
      <c r="Q34" s="33" t="s">
        <v>27</v>
      </c>
      <c r="R34" s="34" t="s">
        <v>28</v>
      </c>
      <c r="S34"/>
      <c r="T34"/>
      <c r="U34"/>
      <c r="V34"/>
      <c r="W34"/>
      <c r="X34"/>
      <c r="Y34"/>
      <c r="Z34"/>
      <c r="AA34"/>
      <c r="AB34"/>
      <c r="AC34"/>
    </row>
    <row r="35" spans="4:29" ht="23.4" customHeight="1" x14ac:dyDescent="0.3">
      <c r="D35" s="35" t="s">
        <v>34</v>
      </c>
      <c r="E35">
        <v>195</v>
      </c>
      <c r="F35">
        <v>369</v>
      </c>
      <c r="G35">
        <v>1476</v>
      </c>
      <c r="H35">
        <v>784</v>
      </c>
      <c r="I35">
        <v>26</v>
      </c>
      <c r="J35">
        <v>6602</v>
      </c>
      <c r="K35">
        <v>351</v>
      </c>
      <c r="L35">
        <v>231</v>
      </c>
      <c r="M35">
        <v>1113</v>
      </c>
      <c r="N35">
        <v>3276</v>
      </c>
      <c r="O35">
        <v>630</v>
      </c>
      <c r="P35">
        <v>263</v>
      </c>
      <c r="Q35">
        <v>20795</v>
      </c>
      <c r="R35" s="32">
        <v>721</v>
      </c>
      <c r="S35"/>
      <c r="T35"/>
      <c r="U35"/>
      <c r="V35"/>
      <c r="W35"/>
      <c r="X35"/>
      <c r="Y35"/>
      <c r="Z35"/>
      <c r="AA35"/>
      <c r="AB35"/>
      <c r="AC35"/>
    </row>
    <row r="36" spans="4:29" ht="23.4" customHeight="1" x14ac:dyDescent="0.3">
      <c r="D36" s="35" t="s">
        <v>39</v>
      </c>
      <c r="E36">
        <v>112</v>
      </c>
      <c r="F36">
        <v>194</v>
      </c>
      <c r="G36">
        <v>793</v>
      </c>
      <c r="H36">
        <v>218</v>
      </c>
      <c r="I36">
        <v>53</v>
      </c>
      <c r="J36">
        <v>4243</v>
      </c>
      <c r="K36">
        <v>149</v>
      </c>
      <c r="L36">
        <v>193</v>
      </c>
      <c r="M36">
        <v>534</v>
      </c>
      <c r="N36">
        <v>1168</v>
      </c>
      <c r="O36">
        <v>599</v>
      </c>
      <c r="P36">
        <v>99</v>
      </c>
      <c r="Q36">
        <v>10102</v>
      </c>
      <c r="R36" s="32">
        <v>267</v>
      </c>
      <c r="S36"/>
      <c r="T36"/>
      <c r="U36"/>
      <c r="V36"/>
      <c r="W36"/>
      <c r="X36"/>
      <c r="Y36"/>
      <c r="Z36"/>
      <c r="AA36"/>
      <c r="AB36"/>
      <c r="AC36"/>
    </row>
    <row r="37" spans="4:29" ht="23.4" customHeight="1" x14ac:dyDescent="0.3">
      <c r="D37" s="35" t="s">
        <v>35</v>
      </c>
      <c r="E37">
        <v>50</v>
      </c>
      <c r="F37">
        <v>127</v>
      </c>
      <c r="G37">
        <v>469</v>
      </c>
      <c r="H37">
        <v>170</v>
      </c>
      <c r="I37">
        <v>2</v>
      </c>
      <c r="J37">
        <v>3624</v>
      </c>
      <c r="K37">
        <v>86</v>
      </c>
      <c r="L37">
        <v>44</v>
      </c>
      <c r="M37">
        <v>299</v>
      </c>
      <c r="N37">
        <v>608</v>
      </c>
      <c r="O37">
        <v>351</v>
      </c>
      <c r="P37">
        <v>132</v>
      </c>
      <c r="Q37">
        <v>1679</v>
      </c>
      <c r="R37" s="32">
        <v>1219</v>
      </c>
      <c r="S37"/>
      <c r="T37"/>
      <c r="U37"/>
      <c r="V37"/>
      <c r="W37"/>
      <c r="X37"/>
      <c r="Y37"/>
      <c r="Z37"/>
      <c r="AA37"/>
      <c r="AB37"/>
      <c r="AC37"/>
    </row>
    <row r="38" spans="4:29" ht="23.4" customHeight="1" x14ac:dyDescent="0.3">
      <c r="D38" s="35" t="s">
        <v>36</v>
      </c>
      <c r="E38">
        <v>37</v>
      </c>
      <c r="F38">
        <v>85</v>
      </c>
      <c r="G38">
        <v>466</v>
      </c>
      <c r="H38">
        <v>171</v>
      </c>
      <c r="I38">
        <v>4</v>
      </c>
      <c r="J38">
        <v>2470</v>
      </c>
      <c r="K38">
        <v>78</v>
      </c>
      <c r="L38">
        <v>58</v>
      </c>
      <c r="M38">
        <v>111</v>
      </c>
      <c r="N38">
        <v>507</v>
      </c>
      <c r="O38">
        <v>336</v>
      </c>
      <c r="P38">
        <v>174</v>
      </c>
      <c r="Q38">
        <v>2721</v>
      </c>
      <c r="R38" s="32">
        <v>2251</v>
      </c>
      <c r="S38"/>
      <c r="T38"/>
      <c r="U38"/>
      <c r="V38"/>
      <c r="W38"/>
      <c r="X38"/>
      <c r="Y38"/>
      <c r="Z38"/>
      <c r="AA38"/>
      <c r="AB38"/>
      <c r="AC38"/>
    </row>
    <row r="39" spans="4:29" ht="23.4" customHeight="1" x14ac:dyDescent="0.3">
      <c r="D39" s="35" t="s">
        <v>37</v>
      </c>
      <c r="E39">
        <v>33</v>
      </c>
      <c r="F39">
        <v>58</v>
      </c>
      <c r="G39">
        <v>190</v>
      </c>
      <c r="H39">
        <v>63</v>
      </c>
      <c r="I39">
        <v>1</v>
      </c>
      <c r="J39">
        <v>1607</v>
      </c>
      <c r="K39">
        <v>57</v>
      </c>
      <c r="L39">
        <v>28</v>
      </c>
      <c r="M39">
        <v>189</v>
      </c>
      <c r="N39">
        <v>316</v>
      </c>
      <c r="O39">
        <v>43</v>
      </c>
      <c r="P39">
        <v>22</v>
      </c>
      <c r="Q39">
        <v>6354</v>
      </c>
      <c r="R39" s="32">
        <v>29</v>
      </c>
      <c r="S39"/>
      <c r="T39"/>
      <c r="U39"/>
      <c r="V39"/>
      <c r="W39"/>
      <c r="X39"/>
      <c r="Y39"/>
      <c r="Z39"/>
      <c r="AA39"/>
      <c r="AB39"/>
      <c r="AC39"/>
    </row>
    <row r="40" spans="4:29" ht="23.4" customHeight="1" x14ac:dyDescent="0.3">
      <c r="D40" s="35" t="s">
        <v>38</v>
      </c>
      <c r="E40">
        <v>45</v>
      </c>
      <c r="F40">
        <v>40</v>
      </c>
      <c r="G40">
        <v>289</v>
      </c>
      <c r="H40">
        <v>92</v>
      </c>
      <c r="I40">
        <v>7</v>
      </c>
      <c r="J40">
        <v>1082</v>
      </c>
      <c r="K40">
        <v>43</v>
      </c>
      <c r="L40">
        <v>51</v>
      </c>
      <c r="M40">
        <v>101</v>
      </c>
      <c r="N40">
        <v>415</v>
      </c>
      <c r="O40">
        <v>65</v>
      </c>
      <c r="P40">
        <v>16</v>
      </c>
      <c r="Q40">
        <v>3970</v>
      </c>
      <c r="R40" s="32">
        <v>219</v>
      </c>
      <c r="S40"/>
      <c r="T40"/>
      <c r="U40"/>
      <c r="V40"/>
      <c r="W40"/>
      <c r="X40"/>
      <c r="Y40"/>
      <c r="Z40"/>
      <c r="AA40"/>
      <c r="AB40"/>
      <c r="AC40"/>
    </row>
    <row r="41" spans="4:29" ht="23.4" customHeight="1" x14ac:dyDescent="0.3">
      <c r="D41" s="35" t="s">
        <v>40</v>
      </c>
      <c r="E41">
        <v>17</v>
      </c>
      <c r="F41">
        <v>50</v>
      </c>
      <c r="G41">
        <v>328</v>
      </c>
      <c r="H41">
        <v>44</v>
      </c>
      <c r="I41">
        <v>0</v>
      </c>
      <c r="J41">
        <v>2587</v>
      </c>
      <c r="K41">
        <v>34</v>
      </c>
      <c r="L41">
        <v>23</v>
      </c>
      <c r="M41">
        <v>146</v>
      </c>
      <c r="N41">
        <v>460</v>
      </c>
      <c r="O41">
        <v>53</v>
      </c>
      <c r="P41">
        <v>10</v>
      </c>
      <c r="Q41">
        <v>496</v>
      </c>
      <c r="R41" s="32">
        <v>1355</v>
      </c>
      <c r="S41"/>
      <c r="T41"/>
      <c r="U41"/>
      <c r="V41"/>
      <c r="W41"/>
      <c r="X41"/>
      <c r="Y41"/>
      <c r="Z41"/>
      <c r="AA41"/>
      <c r="AB41"/>
      <c r="AC41"/>
    </row>
    <row r="42" spans="4:29" ht="23.4" customHeight="1" x14ac:dyDescent="0.3">
      <c r="D42" s="35" t="s">
        <v>41</v>
      </c>
      <c r="E42">
        <v>2</v>
      </c>
      <c r="F42">
        <v>10</v>
      </c>
      <c r="G42">
        <v>24</v>
      </c>
      <c r="H42">
        <v>2</v>
      </c>
      <c r="I42">
        <v>0</v>
      </c>
      <c r="J42">
        <v>5</v>
      </c>
      <c r="K42">
        <v>8</v>
      </c>
      <c r="L42">
        <v>1</v>
      </c>
      <c r="M42">
        <v>1</v>
      </c>
      <c r="N42">
        <v>71</v>
      </c>
      <c r="O42">
        <v>4</v>
      </c>
      <c r="P42">
        <v>9</v>
      </c>
      <c r="Q42">
        <v>395</v>
      </c>
      <c r="R42" s="32">
        <v>118</v>
      </c>
      <c r="S42"/>
      <c r="T42"/>
      <c r="U42"/>
      <c r="V42"/>
      <c r="W42"/>
      <c r="X42"/>
      <c r="Y42"/>
      <c r="Z42"/>
      <c r="AA42"/>
      <c r="AB42"/>
      <c r="AC42"/>
    </row>
  </sheetData>
  <mergeCells count="1">
    <mergeCell ref="A1:AJ1"/>
  </mergeCells>
  <conditionalFormatting sqref="D34:R42">
    <cfRule type="colorScale" priority="1">
      <colorScale>
        <cfvo type="min"/>
        <cfvo type="percentile" val="50"/>
        <cfvo type="max"/>
        <color theme="7" tint="0.79998168889431442"/>
        <color theme="5" tint="0.39997558519241921"/>
        <color rgb="FFC00000"/>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3B44C-E98F-40F3-A196-35B614B6CBE4}">
  <dimension ref="A1:C37"/>
  <sheetViews>
    <sheetView topLeftCell="A16" workbookViewId="0">
      <selection activeCell="A18" sqref="A18:C18"/>
    </sheetView>
  </sheetViews>
  <sheetFormatPr defaultRowHeight="14.4" x14ac:dyDescent="0.3"/>
  <cols>
    <col min="2" max="2" width="23.77734375" bestFit="1" customWidth="1"/>
    <col min="3" max="3" width="51.6640625" bestFit="1" customWidth="1"/>
  </cols>
  <sheetData>
    <row r="1" spans="1:3" ht="15" thickBot="1" x14ac:dyDescent="0.35">
      <c r="A1" s="54" t="s">
        <v>95</v>
      </c>
      <c r="B1" s="55"/>
      <c r="C1" s="56"/>
    </row>
    <row r="2" spans="1:3" x14ac:dyDescent="0.3">
      <c r="A2" s="43" t="s">
        <v>49</v>
      </c>
      <c r="B2" s="43" t="s">
        <v>50</v>
      </c>
      <c r="C2" s="43" t="s">
        <v>51</v>
      </c>
    </row>
    <row r="3" spans="1:3" x14ac:dyDescent="0.3">
      <c r="A3" s="19">
        <v>1</v>
      </c>
      <c r="B3" s="19" t="s">
        <v>17</v>
      </c>
      <c r="C3" s="19" t="s">
        <v>52</v>
      </c>
    </row>
    <row r="4" spans="1:3" x14ac:dyDescent="0.3">
      <c r="A4" s="19">
        <v>2</v>
      </c>
      <c r="B4" s="19" t="s">
        <v>15</v>
      </c>
      <c r="C4" s="19" t="s">
        <v>53</v>
      </c>
    </row>
    <row r="5" spans="1:3" x14ac:dyDescent="0.3">
      <c r="A5" s="19">
        <v>3</v>
      </c>
      <c r="B5" s="19" t="s">
        <v>20</v>
      </c>
      <c r="C5" s="19" t="s">
        <v>54</v>
      </c>
    </row>
    <row r="6" spans="1:3" x14ac:dyDescent="0.3">
      <c r="A6" s="19">
        <v>4</v>
      </c>
      <c r="B6" s="19" t="s">
        <v>21</v>
      </c>
      <c r="C6" s="19" t="s">
        <v>55</v>
      </c>
    </row>
    <row r="7" spans="1:3" x14ac:dyDescent="0.3">
      <c r="A7" s="19">
        <v>5</v>
      </c>
      <c r="B7" s="19" t="s">
        <v>25</v>
      </c>
      <c r="C7" s="19" t="s">
        <v>56</v>
      </c>
    </row>
    <row r="8" spans="1:3" x14ac:dyDescent="0.3">
      <c r="A8" s="19">
        <v>6</v>
      </c>
      <c r="B8" s="19" t="s">
        <v>26</v>
      </c>
      <c r="C8" s="19" t="s">
        <v>57</v>
      </c>
    </row>
    <row r="9" spans="1:3" x14ac:dyDescent="0.3">
      <c r="A9" s="19">
        <v>7</v>
      </c>
      <c r="B9" s="19" t="s">
        <v>27</v>
      </c>
      <c r="C9" s="19" t="s">
        <v>58</v>
      </c>
    </row>
    <row r="10" spans="1:3" x14ac:dyDescent="0.3">
      <c r="A10" s="19">
        <v>8</v>
      </c>
      <c r="B10" s="19" t="s">
        <v>28</v>
      </c>
      <c r="C10" s="19" t="s">
        <v>59</v>
      </c>
    </row>
    <row r="11" spans="1:3" x14ac:dyDescent="0.3">
      <c r="A11" s="19">
        <v>9</v>
      </c>
      <c r="B11" s="19" t="s">
        <v>16</v>
      </c>
      <c r="C11" s="19" t="s">
        <v>60</v>
      </c>
    </row>
    <row r="12" spans="1:3" x14ac:dyDescent="0.3">
      <c r="A12" s="19">
        <v>10</v>
      </c>
      <c r="B12" s="19" t="s">
        <v>19</v>
      </c>
      <c r="C12" s="19" t="s">
        <v>61</v>
      </c>
    </row>
    <row r="13" spans="1:3" x14ac:dyDescent="0.3">
      <c r="A13" s="19">
        <v>11</v>
      </c>
      <c r="B13" s="19" t="s">
        <v>22</v>
      </c>
      <c r="C13" s="19" t="s">
        <v>62</v>
      </c>
    </row>
    <row r="14" spans="1:3" x14ac:dyDescent="0.3">
      <c r="A14" s="19">
        <v>12</v>
      </c>
      <c r="B14" s="19" t="s">
        <v>63</v>
      </c>
      <c r="C14" s="19" t="s">
        <v>64</v>
      </c>
    </row>
    <row r="15" spans="1:3" x14ac:dyDescent="0.3">
      <c r="A15" s="19">
        <v>13</v>
      </c>
      <c r="B15" s="19" t="s">
        <v>24</v>
      </c>
      <c r="C15" s="19" t="s">
        <v>65</v>
      </c>
    </row>
    <row r="16" spans="1:3" x14ac:dyDescent="0.3">
      <c r="A16" s="19">
        <v>14</v>
      </c>
      <c r="B16" s="19" t="s">
        <v>18</v>
      </c>
      <c r="C16" s="19" t="s">
        <v>66</v>
      </c>
    </row>
    <row r="18" spans="1:3" ht="21" x14ac:dyDescent="0.4">
      <c r="A18" s="53" t="s">
        <v>96</v>
      </c>
      <c r="B18" s="53"/>
      <c r="C18" s="53"/>
    </row>
    <row r="19" spans="1:3" x14ac:dyDescent="0.3">
      <c r="A19" s="44"/>
    </row>
    <row r="20" spans="1:3" ht="105" customHeight="1" x14ac:dyDescent="0.3">
      <c r="A20" s="52" t="s">
        <v>77</v>
      </c>
      <c r="B20" s="52"/>
      <c r="C20" s="52"/>
    </row>
    <row r="21" spans="1:3" ht="48.6" customHeight="1" x14ac:dyDescent="0.3">
      <c r="A21" s="52" t="s">
        <v>78</v>
      </c>
      <c r="B21" s="52"/>
      <c r="C21" s="52"/>
    </row>
    <row r="22" spans="1:3" ht="48.6" customHeight="1" x14ac:dyDescent="0.3">
      <c r="A22" s="52" t="s">
        <v>79</v>
      </c>
      <c r="B22" s="52"/>
      <c r="C22" s="52"/>
    </row>
    <row r="23" spans="1:3" x14ac:dyDescent="0.3">
      <c r="A23" t="s">
        <v>80</v>
      </c>
    </row>
    <row r="24" spans="1:3" x14ac:dyDescent="0.3">
      <c r="A24" t="s">
        <v>81</v>
      </c>
    </row>
    <row r="25" spans="1:3" x14ac:dyDescent="0.3">
      <c r="A25" t="s">
        <v>82</v>
      </c>
    </row>
    <row r="26" spans="1:3" x14ac:dyDescent="0.3">
      <c r="A26" t="s">
        <v>83</v>
      </c>
    </row>
    <row r="27" spans="1:3" x14ac:dyDescent="0.3">
      <c r="A27" t="s">
        <v>84</v>
      </c>
    </row>
    <row r="28" spans="1:3" x14ac:dyDescent="0.3">
      <c r="A28" t="s">
        <v>85</v>
      </c>
    </row>
    <row r="29" spans="1:3" x14ac:dyDescent="0.3">
      <c r="A29" t="s">
        <v>86</v>
      </c>
    </row>
    <row r="30" spans="1:3" x14ac:dyDescent="0.3">
      <c r="A30" t="s">
        <v>87</v>
      </c>
    </row>
    <row r="31" spans="1:3" x14ac:dyDescent="0.3">
      <c r="A31" t="s">
        <v>88</v>
      </c>
    </row>
    <row r="32" spans="1:3" x14ac:dyDescent="0.3">
      <c r="A32" t="s">
        <v>89</v>
      </c>
    </row>
    <row r="33" spans="1:1" x14ac:dyDescent="0.3">
      <c r="A33" t="s">
        <v>90</v>
      </c>
    </row>
    <row r="34" spans="1:1" x14ac:dyDescent="0.3">
      <c r="A34" t="s">
        <v>91</v>
      </c>
    </row>
    <row r="35" spans="1:1" x14ac:dyDescent="0.3">
      <c r="A35" t="s">
        <v>92</v>
      </c>
    </row>
    <row r="36" spans="1:1" x14ac:dyDescent="0.3">
      <c r="A36" t="s">
        <v>93</v>
      </c>
    </row>
    <row r="37" spans="1:1" x14ac:dyDescent="0.3">
      <c r="A37" t="s">
        <v>94</v>
      </c>
    </row>
  </sheetData>
  <mergeCells count="5">
    <mergeCell ref="A22:C22"/>
    <mergeCell ref="A18:C18"/>
    <mergeCell ref="A1:C1"/>
    <mergeCell ref="A20:C20"/>
    <mergeCell ref="A21: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Sheet5</vt:lpstr>
      <vt:lpstr>Sheet4</vt:lpstr>
      <vt:lpstr>Sheet3</vt:lpstr>
      <vt:lpstr>Main</vt:lpstr>
      <vt:lpstr>Heatmap</vt:lpstr>
      <vt:lpstr>Dashboard</vt:lpstr>
      <vt:lpstr>Insights &amp; Interpretation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Pharma-Executive, Sales Admin-Enam Kobir</dc:creator>
  <cp:lastModifiedBy>Pharma-Executive, Sales Admin-Enam Kobir</cp:lastModifiedBy>
  <dcterms:created xsi:type="dcterms:W3CDTF">2025-10-21T16:40:34Z</dcterms:created>
  <dcterms:modified xsi:type="dcterms:W3CDTF">2025-10-22T16:47:59Z</dcterms:modified>
</cp:coreProperties>
</file>